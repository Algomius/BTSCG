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4. Statistiques à 2 variables\"/>
    </mc:Choice>
  </mc:AlternateContent>
  <xr:revisionPtr revIDLastSave="0" documentId="13_ncr:1_{D6FCFF20-B647-4303-BC40-BC8715445143}" xr6:coauthVersionLast="47" xr6:coauthVersionMax="47" xr10:uidLastSave="{00000000-0000-0000-0000-000000000000}"/>
  <bookViews>
    <workbookView xWindow="-120" yWindow="-120" windowWidth="29040" windowHeight="15840" xr2:uid="{2A489ABD-81E0-4120-88AB-A78FC10EFCAC}"/>
  </bookViews>
  <sheets>
    <sheet name="Feuil1" sheetId="1" r:id="rId1"/>
    <sheet name="Feuil2" sheetId="2" r:id="rId2"/>
    <sheet name="Changement de variabl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B4" i="3"/>
  <c r="C7" i="3"/>
  <c r="C3" i="3"/>
  <c r="D3" i="3"/>
  <c r="E3" i="3"/>
  <c r="F3" i="3"/>
  <c r="G3" i="3"/>
  <c r="H2" i="3"/>
  <c r="K2" i="3"/>
  <c r="B3" i="3"/>
  <c r="H3" i="3"/>
  <c r="I3" i="3"/>
  <c r="J3" i="3"/>
  <c r="K3" i="3"/>
  <c r="C73" i="2"/>
  <c r="K62" i="2"/>
  <c r="K64" i="2" s="1"/>
  <c r="J62" i="2"/>
  <c r="J64" i="2" s="1"/>
  <c r="I62" i="2"/>
  <c r="I64" i="2" s="1"/>
  <c r="H62" i="2"/>
  <c r="H64" i="2" s="1"/>
  <c r="C60" i="2"/>
  <c r="G62" i="2" s="1"/>
  <c r="G64" i="2" s="1"/>
  <c r="C59" i="2"/>
  <c r="J61" i="2" s="1"/>
  <c r="J43" i="2"/>
  <c r="J45" i="2" s="1"/>
  <c r="I43" i="2"/>
  <c r="I45" i="2" s="1"/>
  <c r="H43" i="2"/>
  <c r="H45" i="2" s="1"/>
  <c r="G43" i="2"/>
  <c r="G45" i="2" s="1"/>
  <c r="F43" i="2"/>
  <c r="F45" i="2" s="1"/>
  <c r="E43" i="2"/>
  <c r="E45" i="2" s="1"/>
  <c r="C41" i="2"/>
  <c r="D43" i="2" s="1"/>
  <c r="D45" i="2" s="1"/>
  <c r="C40" i="2"/>
  <c r="L42" i="2" s="1"/>
  <c r="H31" i="2"/>
  <c r="H32" i="2" s="1"/>
  <c r="G31" i="2"/>
  <c r="G32" i="2" s="1"/>
  <c r="F31" i="2"/>
  <c r="F32" i="2" s="1"/>
  <c r="E31" i="2"/>
  <c r="E32" i="2" s="1"/>
  <c r="D31" i="2"/>
  <c r="D32" i="2" s="1"/>
  <c r="C31" i="2"/>
  <c r="C32" i="2" s="1"/>
  <c r="L30" i="2"/>
  <c r="L31" i="2" s="1"/>
  <c r="L32" i="2" s="1"/>
  <c r="K30" i="2"/>
  <c r="K31" i="2" s="1"/>
  <c r="K32" i="2" s="1"/>
  <c r="J30" i="2"/>
  <c r="J31" i="2" s="1"/>
  <c r="J32" i="2" s="1"/>
  <c r="I30" i="2"/>
  <c r="I31" i="2" s="1"/>
  <c r="I32" i="2" s="1"/>
  <c r="H30" i="2"/>
  <c r="G30" i="2"/>
  <c r="F30" i="2"/>
  <c r="E30" i="2"/>
  <c r="D30" i="2"/>
  <c r="C30" i="2"/>
  <c r="E19" i="2"/>
  <c r="D19" i="2"/>
  <c r="C19" i="2"/>
  <c r="I13" i="2"/>
  <c r="L44" i="2" l="1"/>
  <c r="J67" i="2"/>
  <c r="J63" i="2"/>
  <c r="C33" i="2"/>
  <c r="C34" i="2" s="1"/>
  <c r="D61" i="2"/>
  <c r="E61" i="2"/>
  <c r="C42" i="2"/>
  <c r="D42" i="2"/>
  <c r="G61" i="2"/>
  <c r="E42" i="2"/>
  <c r="H61" i="2"/>
  <c r="F42" i="2"/>
  <c r="I61" i="2"/>
  <c r="C61" i="2"/>
  <c r="K43" i="2"/>
  <c r="K45" i="2" s="1"/>
  <c r="L43" i="2"/>
  <c r="L45" i="2" s="1"/>
  <c r="G42" i="2"/>
  <c r="H42" i="2"/>
  <c r="K61" i="2"/>
  <c r="I42" i="2"/>
  <c r="L61" i="2"/>
  <c r="J42" i="2"/>
  <c r="C62" i="2"/>
  <c r="C64" i="2" s="1"/>
  <c r="L62" i="2"/>
  <c r="L64" i="2" s="1"/>
  <c r="F61" i="2"/>
  <c r="C43" i="2"/>
  <c r="C45" i="2" s="1"/>
  <c r="F62" i="2"/>
  <c r="F64" i="2" s="1"/>
  <c r="K42" i="2"/>
  <c r="D62" i="2"/>
  <c r="D64" i="2" s="1"/>
  <c r="E62" i="2"/>
  <c r="E64" i="2" s="1"/>
  <c r="F48" i="2" l="1"/>
  <c r="F44" i="2"/>
  <c r="G67" i="2"/>
  <c r="G63" i="2"/>
  <c r="C47" i="2"/>
  <c r="K67" i="2"/>
  <c r="K63" i="2"/>
  <c r="G44" i="2"/>
  <c r="G48" i="2"/>
  <c r="I67" i="2"/>
  <c r="I63" i="2"/>
  <c r="E48" i="2"/>
  <c r="E44" i="2"/>
  <c r="D67" i="2"/>
  <c r="D63" i="2"/>
  <c r="H48" i="2"/>
  <c r="H44" i="2"/>
  <c r="C67" i="2"/>
  <c r="C63" i="2"/>
  <c r="C65" i="2" s="1"/>
  <c r="H67" i="2"/>
  <c r="H63" i="2"/>
  <c r="K48" i="2"/>
  <c r="K44" i="2"/>
  <c r="D48" i="2"/>
  <c r="D44" i="2"/>
  <c r="C44" i="2"/>
  <c r="C48" i="2"/>
  <c r="E63" i="2"/>
  <c r="E67" i="2"/>
  <c r="F63" i="2"/>
  <c r="F67" i="2"/>
  <c r="C66" i="2"/>
  <c r="J48" i="2"/>
  <c r="J44" i="2"/>
  <c r="L67" i="2"/>
  <c r="L63" i="2"/>
  <c r="I48" i="2"/>
  <c r="I44" i="2"/>
  <c r="L48" i="2"/>
  <c r="C46" i="2" l="1"/>
  <c r="C68" i="2"/>
  <c r="C69" i="2" s="1"/>
  <c r="C49" i="2"/>
  <c r="C50" i="2" s="1"/>
  <c r="C51" i="2" s="1"/>
  <c r="C71" i="2" l="1"/>
  <c r="C70" i="2"/>
  <c r="A21" i="1"/>
  <c r="B20" i="1"/>
  <c r="B19" i="1" a="1"/>
  <c r="B19" i="1" s="1"/>
  <c r="H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<sst xmlns="http://schemas.openxmlformats.org/spreadsheetml/2006/main" count="74" uniqueCount="52">
  <si>
    <t>Bob</t>
  </si>
  <si>
    <t>Alison</t>
  </si>
  <si>
    <t>Kim</t>
  </si>
  <si>
    <t>Jim</t>
  </si>
  <si>
    <t>Jo</t>
  </si>
  <si>
    <t>Beth</t>
  </si>
  <si>
    <t>Compta</t>
  </si>
  <si>
    <t xml:space="preserve">Gestion </t>
  </si>
  <si>
    <t>Nombre de m²</t>
  </si>
  <si>
    <t>Prix appartement en euros</t>
  </si>
  <si>
    <t>a</t>
  </si>
  <si>
    <t>b</t>
  </si>
  <si>
    <t>Note</t>
  </si>
  <si>
    <t>Coefficient</t>
  </si>
  <si>
    <t>Statistiques</t>
  </si>
  <si>
    <t>Force</t>
  </si>
  <si>
    <t>Endurance</t>
  </si>
  <si>
    <t>Agilité</t>
  </si>
  <si>
    <t>Intelligence</t>
  </si>
  <si>
    <t>Esprit</t>
  </si>
  <si>
    <t>Charisme</t>
  </si>
  <si>
    <t>Guerrier</t>
  </si>
  <si>
    <t>Date</t>
  </si>
  <si>
    <t>Achat</t>
  </si>
  <si>
    <t>Moyenne</t>
  </si>
  <si>
    <t>Individu</t>
  </si>
  <si>
    <t>Age</t>
  </si>
  <si>
    <t>Ecart</t>
  </si>
  <si>
    <t>Ecart²</t>
  </si>
  <si>
    <t>Variance</t>
  </si>
  <si>
    <t>Ecart-type</t>
  </si>
  <si>
    <t>Note sur l'année</t>
  </si>
  <si>
    <t>Note au final</t>
  </si>
  <si>
    <t>moyenne année</t>
  </si>
  <si>
    <t>Moyenne finale</t>
  </si>
  <si>
    <t>Ecart année</t>
  </si>
  <si>
    <t>Ecart final</t>
  </si>
  <si>
    <t>Ecart année²</t>
  </si>
  <si>
    <t>Ecart final²</t>
  </si>
  <si>
    <t>Variance année</t>
  </si>
  <si>
    <t>Variance final</t>
  </si>
  <si>
    <t>produit des écarts</t>
  </si>
  <si>
    <t>somme des produits</t>
  </si>
  <si>
    <t>covariance</t>
  </si>
  <si>
    <t>r</t>
  </si>
  <si>
    <t>Variance(année)</t>
  </si>
  <si>
    <t>Variance(final)</t>
  </si>
  <si>
    <t>cov/variance(x)</t>
  </si>
  <si>
    <t>Année (x)</t>
  </si>
  <si>
    <t>Nombre de salariés (y)</t>
  </si>
  <si>
    <t>Changement (z)</t>
  </si>
  <si>
    <t>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</si>
</sst>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notes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Feuil1!$A$3</c:f>
              <c:strCache>
                <c:ptCount val="1"/>
                <c:pt idx="0">
                  <c:v>Gestion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Feuil1!$B$2:$G$2</c:f>
              <c:numCache>
                <c:formatCode>General</c:formatCode>
                <c:ptCount val="6"/>
                <c:pt idx="0">
                  <c:v>15</c:v>
                </c:pt>
                <c:pt idx="1">
                  <c:v>13</c:v>
                </c:pt>
                <c:pt idx="2">
                  <c:v>17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Feuil1!$B$3:$G$3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16</c:v>
                </c:pt>
                <c:pt idx="3">
                  <c:v>17</c:v>
                </c:pt>
                <c:pt idx="4">
                  <c:v>8</c:v>
                </c:pt>
                <c:pt idx="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5-4960-87A0-9A56328E9D69}"/>
            </c:ext>
          </c:extLst>
        </c:ser>
        <c:ser>
          <c:idx val="1"/>
          <c:order val="1"/>
          <c:tx>
            <c:v>Moyenne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Feuil1!$H$2</c:f>
              <c:numCache>
                <c:formatCode>General</c:formatCode>
                <c:ptCount val="1"/>
                <c:pt idx="0">
                  <c:v>10.5</c:v>
                </c:pt>
              </c:numCache>
            </c:numRef>
          </c:xVal>
          <c:yVal>
            <c:numRef>
              <c:f>Feuil1!$H$3</c:f>
              <c:numCache>
                <c:formatCode>General</c:formatCode>
                <c:ptCount val="1"/>
                <c:pt idx="0">
                  <c:v>12.166666666666666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5-4960-87A0-9A56328E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872576"/>
        <c:axId val="1138894176"/>
      </c:scatterChart>
      <c:valAx>
        <c:axId val="113887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8894176"/>
        <c:crosses val="autoZero"/>
        <c:crossBetween val="midCat"/>
      </c:valAx>
      <c:valAx>
        <c:axId val="11388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887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Feuil1!$A$17</c:f>
              <c:strCache>
                <c:ptCount val="1"/>
                <c:pt idx="0">
                  <c:v>Nombre de m²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Feuil1!$B$16:$G$16</c:f>
              <c:numCache>
                <c:formatCode>General</c:formatCode>
                <c:ptCount val="6"/>
                <c:pt idx="0">
                  <c:v>138000</c:v>
                </c:pt>
                <c:pt idx="1">
                  <c:v>131000</c:v>
                </c:pt>
                <c:pt idx="2">
                  <c:v>250000</c:v>
                </c:pt>
                <c:pt idx="3">
                  <c:v>340000</c:v>
                </c:pt>
                <c:pt idx="4">
                  <c:v>120000</c:v>
                </c:pt>
                <c:pt idx="5">
                  <c:v>98000</c:v>
                </c:pt>
              </c:numCache>
            </c:numRef>
          </c:xVal>
          <c:yVal>
            <c:numRef>
              <c:f>Feuil1!$B$17:$G$17</c:f>
              <c:numCache>
                <c:formatCode>General</c:formatCode>
                <c:ptCount val="6"/>
                <c:pt idx="0">
                  <c:v>42</c:v>
                </c:pt>
                <c:pt idx="1">
                  <c:v>35</c:v>
                </c:pt>
                <c:pt idx="2">
                  <c:v>72</c:v>
                </c:pt>
                <c:pt idx="3">
                  <c:v>84</c:v>
                </c:pt>
                <c:pt idx="4">
                  <c:v>42</c:v>
                </c:pt>
                <c:pt idx="5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C-4DDE-A35D-3DA3623CC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40816"/>
        <c:axId val="1168189776"/>
      </c:scatterChart>
      <c:valAx>
        <c:axId val="113944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8189776"/>
        <c:crosses val="autoZero"/>
        <c:crossBetween val="midCat"/>
      </c:valAx>
      <c:valAx>
        <c:axId val="11681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944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Valeur et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[1]Feuil1!$B$18</c:f>
              <c:strCache>
                <c:ptCount val="1"/>
                <c:pt idx="0">
                  <c:v>Achat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[1]Feuil1!$C$17:$E$17</c:f>
              <c:numCache>
                <c:formatCode>General</c:formatCode>
                <c:ptCount val="3"/>
                <c:pt idx="0">
                  <c:v>44217</c:v>
                </c:pt>
                <c:pt idx="1">
                  <c:v>44301</c:v>
                </c:pt>
                <c:pt idx="2">
                  <c:v>44470</c:v>
                </c:pt>
              </c:numCache>
            </c:numRef>
          </c:cat>
          <c:val>
            <c:numRef>
              <c:f>[1]Feuil1!$C$18:$E$18</c:f>
              <c:numCache>
                <c:formatCode>General</c:formatCode>
                <c:ptCount val="3"/>
                <c:pt idx="0">
                  <c:v>503</c:v>
                </c:pt>
                <c:pt idx="1">
                  <c:v>560</c:v>
                </c:pt>
                <c:pt idx="2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0-4A57-A952-F6E87E3B60FD}"/>
            </c:ext>
          </c:extLst>
        </c:ser>
        <c:ser>
          <c:idx val="1"/>
          <c:order val="1"/>
          <c:tx>
            <c:strRef>
              <c:f>[1]Feuil1!$B$19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[1]Feuil1!$C$17:$E$17</c:f>
              <c:numCache>
                <c:formatCode>General</c:formatCode>
                <c:ptCount val="3"/>
                <c:pt idx="0">
                  <c:v>44217</c:v>
                </c:pt>
                <c:pt idx="1">
                  <c:v>44301</c:v>
                </c:pt>
                <c:pt idx="2">
                  <c:v>44470</c:v>
                </c:pt>
              </c:numCache>
            </c:numRef>
          </c:cat>
          <c:val>
            <c:numRef>
              <c:f>[1]Feuil1!$C$19:$E$19</c:f>
              <c:numCache>
                <c:formatCode>General</c:formatCode>
                <c:ptCount val="3"/>
                <c:pt idx="0">
                  <c:v>566</c:v>
                </c:pt>
                <c:pt idx="1">
                  <c:v>566</c:v>
                </c:pt>
                <c:pt idx="2">
                  <c:v>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0-4A57-A952-F6E87E3B6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615280"/>
        <c:axId val="1276607792"/>
      </c:lineChart>
      <c:catAx>
        <c:axId val="127661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607792"/>
        <c:crosses val="autoZero"/>
        <c:auto val="1"/>
        <c:lblAlgn val="ctr"/>
        <c:lblOffset val="100"/>
        <c:noMultiLvlLbl val="1"/>
      </c:catAx>
      <c:valAx>
        <c:axId val="12766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6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Age</a:t>
            </a:r>
            <a:r>
              <a:rPr lang="fr-FR" baseline="0"/>
              <a:t> et moyenne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[1]Feuil1!$B$29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[1]Feuil1!$C$28:$L$28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[1]Feuil1!$C$29:$L$29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45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18</c:v>
                </c:pt>
                <c:pt idx="7">
                  <c:v>12</c:v>
                </c:pt>
                <c:pt idx="8">
                  <c:v>75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3-459B-A07A-8C32F1B16A6D}"/>
            </c:ext>
          </c:extLst>
        </c:ser>
        <c:ser>
          <c:idx val="1"/>
          <c:order val="1"/>
          <c:tx>
            <c:strRef>
              <c:f>[1]Feuil1!$B$30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[1]Feuil1!$C$28:$L$28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[1]Feuil1!$C$30:$L$30</c:f>
              <c:numCache>
                <c:formatCode>General</c:formatCode>
                <c:ptCount val="10"/>
                <c:pt idx="0">
                  <c:v>44.2</c:v>
                </c:pt>
                <c:pt idx="1">
                  <c:v>44.2</c:v>
                </c:pt>
                <c:pt idx="2">
                  <c:v>44.2</c:v>
                </c:pt>
                <c:pt idx="3">
                  <c:v>44.2</c:v>
                </c:pt>
                <c:pt idx="4">
                  <c:v>44.2</c:v>
                </c:pt>
                <c:pt idx="5">
                  <c:v>44.2</c:v>
                </c:pt>
                <c:pt idx="6">
                  <c:v>44.2</c:v>
                </c:pt>
                <c:pt idx="7">
                  <c:v>44.2</c:v>
                </c:pt>
                <c:pt idx="8">
                  <c:v>44.2</c:v>
                </c:pt>
                <c:pt idx="9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3-459B-A07A-8C32F1B1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563920"/>
        <c:axId val="1399564752"/>
      </c:lineChart>
      <c:catAx>
        <c:axId val="13995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64752"/>
        <c:crosses val="autoZero"/>
        <c:auto val="1"/>
        <c:lblAlgn val="ctr"/>
        <c:lblOffset val="100"/>
        <c:noMultiLvlLbl val="0"/>
      </c:catAx>
      <c:valAx>
        <c:axId val="13995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 au final/note sur l'année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[1]Feuil1!$B$39</c:f>
              <c:strCache>
                <c:ptCount val="1"/>
                <c:pt idx="0">
                  <c:v>Note au final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[1]Feuil1!$C$38:$L$38</c:f>
              <c:numCache>
                <c:formatCode>General</c:formatCode>
                <c:ptCount val="10"/>
                <c:pt idx="0">
                  <c:v>5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5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13</c:v>
                </c:pt>
                <c:pt idx="9">
                  <c:v>18</c:v>
                </c:pt>
              </c:numCache>
            </c:numRef>
          </c:xVal>
          <c:yVal>
            <c:numRef>
              <c:f>[1]Feuil1!$C$39:$L$39</c:f>
              <c:numCache>
                <c:formatCode>General</c:formatCode>
                <c:ptCount val="10"/>
                <c:pt idx="0">
                  <c:v>14</c:v>
                </c:pt>
                <c:pt idx="1">
                  <c:v>13</c:v>
                </c:pt>
                <c:pt idx="2">
                  <c:v>11</c:v>
                </c:pt>
                <c:pt idx="3">
                  <c:v>17</c:v>
                </c:pt>
                <c:pt idx="4">
                  <c:v>3</c:v>
                </c:pt>
                <c:pt idx="5">
                  <c:v>11</c:v>
                </c:pt>
                <c:pt idx="6">
                  <c:v>16</c:v>
                </c:pt>
                <c:pt idx="7">
                  <c:v>7</c:v>
                </c:pt>
                <c:pt idx="8">
                  <c:v>13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8E-4352-9E05-643F7CDE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36048"/>
        <c:axId val="1399541872"/>
      </c:scatterChart>
      <c:valAx>
        <c:axId val="139953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41872"/>
        <c:crosses val="autoZero"/>
        <c:crossBetween val="midCat"/>
      </c:valAx>
      <c:valAx>
        <c:axId val="13995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3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[1]Feuil1!$B$58</c:f>
              <c:strCache>
                <c:ptCount val="1"/>
                <c:pt idx="0">
                  <c:v>Note au final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[1]Feuil1!$C$57:$L$57</c:f>
              <c:numCache>
                <c:formatCode>General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12</c:v>
                </c:pt>
                <c:pt idx="3">
                  <c:v>18</c:v>
                </c:pt>
                <c:pt idx="4">
                  <c:v>5</c:v>
                </c:pt>
                <c:pt idx="5">
                  <c:v>10</c:v>
                </c:pt>
                <c:pt idx="6">
                  <c:v>14</c:v>
                </c:pt>
                <c:pt idx="7">
                  <c:v>8</c:v>
                </c:pt>
                <c:pt idx="8">
                  <c:v>13</c:v>
                </c:pt>
                <c:pt idx="9">
                  <c:v>3</c:v>
                </c:pt>
              </c:numCache>
            </c:numRef>
          </c:xVal>
          <c:yVal>
            <c:numRef>
              <c:f>[1]Feuil1!$C$58:$L$58</c:f>
              <c:numCache>
                <c:formatCode>General</c:formatCode>
                <c:ptCount val="10"/>
                <c:pt idx="0">
                  <c:v>14</c:v>
                </c:pt>
                <c:pt idx="1">
                  <c:v>13</c:v>
                </c:pt>
                <c:pt idx="2">
                  <c:v>11</c:v>
                </c:pt>
                <c:pt idx="3">
                  <c:v>17</c:v>
                </c:pt>
                <c:pt idx="4">
                  <c:v>3</c:v>
                </c:pt>
                <c:pt idx="5">
                  <c:v>11</c:v>
                </c:pt>
                <c:pt idx="6">
                  <c:v>16</c:v>
                </c:pt>
                <c:pt idx="7">
                  <c:v>7</c:v>
                </c:pt>
                <c:pt idx="8">
                  <c:v>13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3-4013-8BCC-EC6FC1C1A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54352"/>
        <c:axId val="1399557264"/>
      </c:scatterChart>
      <c:valAx>
        <c:axId val="139955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57264"/>
        <c:crosses val="autoZero"/>
        <c:crossBetween val="midCat"/>
      </c:valAx>
      <c:valAx>
        <c:axId val="13995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955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'Changement de variable'!$A$2</c:f>
              <c:strCache>
                <c:ptCount val="1"/>
                <c:pt idx="0">
                  <c:v>Nombre de salariés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'Changement de variable'!$B$1:$K$1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'Changement de variable'!$B$2:$K$2</c:f>
              <c:numCache>
                <c:formatCode>General</c:formatCode>
                <c:ptCount val="10"/>
                <c:pt idx="0">
                  <c:v>18</c:v>
                </c:pt>
                <c:pt idx="1">
                  <c:v>30</c:v>
                </c:pt>
                <c:pt idx="2">
                  <c:v>45</c:v>
                </c:pt>
                <c:pt idx="3">
                  <c:v>73</c:v>
                </c:pt>
                <c:pt idx="4">
                  <c:v>115</c:v>
                </c:pt>
                <c:pt idx="5">
                  <c:v>180</c:v>
                </c:pt>
                <c:pt idx="6">
                  <c:v>280.03277497131251</c:v>
                </c:pt>
                <c:pt idx="7">
                  <c:v>440</c:v>
                </c:pt>
                <c:pt idx="8">
                  <c:v>680</c:v>
                </c:pt>
                <c:pt idx="9">
                  <c:v>1080.2055756062618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3-41AE-A41B-25901C532C65}"/>
            </c:ext>
          </c:extLst>
        </c:ser>
        <c:ser>
          <c:idx val="1"/>
          <c:order val="1"/>
          <c:tx>
            <c:v>tendance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'Changement de variable'!$B$1:$K$1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'Changement de variable'!$B$4:$K$4</c:f>
              <c:numCache>
                <c:formatCode>General</c:formatCode>
                <c:ptCount val="10"/>
                <c:pt idx="0">
                  <c:v>18.574562032187814</c:v>
                </c:pt>
                <c:pt idx="1">
                  <c:v>29.189031699457953</c:v>
                </c:pt>
                <c:pt idx="2">
                  <c:v>45.86916074120797</c:v>
                </c:pt>
                <c:pt idx="3">
                  <c:v>72.081182026392668</c:v>
                </c:pt>
                <c:pt idx="4">
                  <c:v>113.27211395115496</c:v>
                </c:pt>
                <c:pt idx="5">
                  <c:v>178.001684188052</c:v>
                </c:pt>
                <c:pt idx="6">
                  <c:v>279.72109346741757</c:v>
                </c:pt>
                <c:pt idx="7">
                  <c:v>439.56825738764405</c:v>
                </c:pt>
                <c:pt idx="8">
                  <c:v>690.76039460469497</c:v>
                </c:pt>
                <c:pt idx="9">
                  <c:v>1085.4967681018138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3-41AE-A41B-25901C53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236847"/>
        <c:axId val="641239727"/>
      </c:scatterChart>
      <c:valAx>
        <c:axId val="64123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239727"/>
        <c:crosses val="autoZero"/>
        <c:crossBetween val="midCat"/>
      </c:valAx>
      <c:valAx>
        <c:axId val="64123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23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58055555555555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'Changement de variable'!$A$3</c:f>
              <c:strCache>
                <c:ptCount val="1"/>
                <c:pt idx="0">
                  <c:v>Changement (z)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'Changement de variable'!$B$1:$K$1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'Changement de variable'!$B$3:$K$3</c:f>
              <c:numCache>
                <c:formatCode>General</c:formatCode>
                <c:ptCount val="10"/>
                <c:pt idx="0">
                  <c:v>2.8903717578961645</c:v>
                </c:pt>
                <c:pt idx="1">
                  <c:v>3.4011973816621555</c:v>
                </c:pt>
                <c:pt idx="2">
                  <c:v>3.8066624897703196</c:v>
                </c:pt>
                <c:pt idx="3">
                  <c:v>4.290459441148391</c:v>
                </c:pt>
                <c:pt idx="4">
                  <c:v>4.7449321283632502</c:v>
                </c:pt>
                <c:pt idx="5">
                  <c:v>5.1929568508902104</c:v>
                </c:pt>
                <c:pt idx="6">
                  <c:v>5.6349066497880003</c:v>
                </c:pt>
                <c:pt idx="7">
                  <c:v>6.0867747269123065</c:v>
                </c:pt>
                <c:pt idx="8">
                  <c:v>6.522092798170152</c:v>
                </c:pt>
                <c:pt idx="9">
                  <c:v>6.9849066497880008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7-4F57-8D3D-B998623F4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77503"/>
        <c:axId val="521274143"/>
      </c:scatterChart>
      <c:valAx>
        <c:axId val="52127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274143"/>
        <c:crosses val="autoZero"/>
        <c:crossBetween val="midCat"/>
      </c:valAx>
      <c:valAx>
        <c:axId val="5212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27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0</xdr:row>
      <xdr:rowOff>257174</xdr:rowOff>
    </xdr:from>
    <xdr:to>
      <xdr:col>12</xdr:col>
      <xdr:colOff>466726</xdr:colOff>
      <xdr:row>11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3C3C645-C4D4-3F26-2C18-E4F4C85E1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704850</xdr:colOff>
      <xdr:row>12</xdr:row>
      <xdr:rowOff>85725</xdr:rowOff>
    </xdr:from>
    <xdr:to>
      <xdr:col>13</xdr:col>
      <xdr:colOff>704850</xdr:colOff>
      <xdr:row>20</xdr:row>
      <xdr:rowOff>161925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61502DD-0C7F-1EDD-477A-8EC11AD6E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15</xdr:row>
      <xdr:rowOff>319087</xdr:rowOff>
    </xdr:from>
    <xdr:to>
      <xdr:col>10</xdr:col>
      <xdr:colOff>161925</xdr:colOff>
      <xdr:row>24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FBB9C5-C5B2-4A89-B433-1664ACDA4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328612</xdr:colOff>
      <xdr:row>24</xdr:row>
      <xdr:rowOff>166687</xdr:rowOff>
    </xdr:from>
    <xdr:to>
      <xdr:col>18</xdr:col>
      <xdr:colOff>328612</xdr:colOff>
      <xdr:row>32</xdr:row>
      <xdr:rowOff>242887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527D8BF-CD02-4200-9001-8B78B67C2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723900</xdr:colOff>
      <xdr:row>35</xdr:row>
      <xdr:rowOff>266700</xdr:rowOff>
    </xdr:from>
    <xdr:to>
      <xdr:col>24</xdr:col>
      <xdr:colOff>495299</xdr:colOff>
      <xdr:row>51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36F48DF-FE0F-4D00-A94A-DF9996F1E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360997</xdr:colOff>
      <xdr:row>55</xdr:row>
      <xdr:rowOff>107632</xdr:rowOff>
    </xdr:from>
    <xdr:to>
      <xdr:col>20</xdr:col>
      <xdr:colOff>261937</xdr:colOff>
      <xdr:row>70</xdr:row>
      <xdr:rowOff>190500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787E933-452F-4731-937B-9892F3EC0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0.39063</cdr:x>
      <cdr:y>0.38368</cdr:y>
    </cdr:from>
    <cdr:to>
      <cdr:x>0.39271</cdr:x>
      <cdr:y>0.50521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41FF758C-4E62-414C-B510-6240B7B4961B}"/>
            </a:ext>
          </a:extLst>
        </cdr:cNvPr>
        <cdr:cNvCxnSpPr/>
      </cdr:nvCxnSpPr>
      <cdr:spPr>
        <a:xfrm xmlns:a="http://schemas.openxmlformats.org/drawingml/2006/main">
          <a:off x="1785938" y="1052513"/>
          <a:ext cx="9525" cy="333375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0.12188</cdr:x>
      <cdr:y>0.51215</cdr:y>
    </cdr:from>
    <cdr:to>
      <cdr:x>0.12604</cdr:x>
      <cdr:y>0.74826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6D6240A9-6D07-45D6-94F8-FFBDFB3D1E3D}"/>
            </a:ext>
          </a:extLst>
        </cdr:cNvPr>
        <cdr:cNvCxnSpPr/>
      </cdr:nvCxnSpPr>
      <cdr:spPr>
        <a:xfrm xmlns:a="http://schemas.openxmlformats.org/drawingml/2006/main">
          <a:off x="557213" y="1404938"/>
          <a:ext cx="19050" cy="647700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0.21563</cdr:x>
      <cdr:y>0.48438</cdr:y>
    </cdr:from>
    <cdr:to>
      <cdr:x>0.21979</cdr:x>
      <cdr:y>0.52257</cdr:y>
    </cdr:to>
    <cdr:cxnSp macro="">
      <cdr:nvCxnSpPr>
        <cdr:cNvPr id="7" name="Connecteur droit avec flèche 6">
          <a:extLst xmlns:a="http://schemas.openxmlformats.org/drawingml/2006/main">
            <a:ext uri="{FF2B5EF4-FFF2-40B4-BE49-F238E27FC236}">
              <a16:creationId xmlns:a16="http://schemas.microsoft.com/office/drawing/2014/main" id="{9388BA48-4492-4FAF-A077-2E8326464086}"/>
            </a:ext>
          </a:extLst>
        </cdr:cNvPr>
        <cdr:cNvCxnSpPr/>
      </cdr:nvCxnSpPr>
      <cdr:spPr>
        <a:xfrm xmlns:a="http://schemas.openxmlformats.org/drawingml/2006/main">
          <a:off x="985838" y="1328738"/>
          <a:ext cx="19050" cy="104775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0.47604</cdr:x>
      <cdr:y>0.51215</cdr:y>
    </cdr:from>
    <cdr:to>
      <cdr:x>0.48021</cdr:x>
      <cdr:y>0.69618</cdr:y>
    </cdr:to>
    <cdr:cxnSp macro="">
      <cdr:nvCxnSpPr>
        <cdr:cNvPr id="10" name="Connecteur droit avec flèche 9">
          <a:extLst xmlns:a="http://schemas.openxmlformats.org/drawingml/2006/main">
            <a:ext uri="{FF2B5EF4-FFF2-40B4-BE49-F238E27FC236}">
              <a16:creationId xmlns:a16="http://schemas.microsoft.com/office/drawing/2014/main" id="{9F2B2DBC-8C1A-42B6-AD1D-A1EE2D042BCF}"/>
            </a:ext>
          </a:extLst>
        </cdr:cNvPr>
        <cdr:cNvCxnSpPr/>
      </cdr:nvCxnSpPr>
      <cdr:spPr>
        <a:xfrm xmlns:a="http://schemas.openxmlformats.org/drawingml/2006/main">
          <a:off x="2176463" y="1404938"/>
          <a:ext cx="19050" cy="504825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0.56771</cdr:x>
      <cdr:y>0.41493</cdr:y>
    </cdr:from>
    <cdr:to>
      <cdr:x>0.56979</cdr:x>
      <cdr:y>0.51215</cdr:y>
    </cdr:to>
    <cdr:cxnSp macro="">
      <cdr:nvCxnSpPr>
        <cdr:cNvPr id="13" name="Connecteur droit avec flèche 12">
          <a:extLst xmlns:a="http://schemas.openxmlformats.org/drawingml/2006/main">
            <a:ext uri="{FF2B5EF4-FFF2-40B4-BE49-F238E27FC236}">
              <a16:creationId xmlns:a16="http://schemas.microsoft.com/office/drawing/2014/main" id="{A7223C24-4F71-4345-BF33-0399E4076607}"/>
            </a:ext>
          </a:extLst>
        </cdr:cNvPr>
        <cdr:cNvCxnSpPr/>
      </cdr:nvCxnSpPr>
      <cdr:spPr>
        <a:xfrm xmlns:a="http://schemas.openxmlformats.org/drawingml/2006/main">
          <a:off x="2595564" y="1138239"/>
          <a:ext cx="9524" cy="266699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0.65521</cdr:x>
      <cdr:y>0.5191</cdr:y>
    </cdr:from>
    <cdr:to>
      <cdr:x>0.65938</cdr:x>
      <cdr:y>0.6684</cdr:y>
    </cdr:to>
    <cdr:cxnSp macro="">
      <cdr:nvCxnSpPr>
        <cdr:cNvPr id="16" name="Connecteur droit avec flèche 15">
          <a:extLst xmlns:a="http://schemas.openxmlformats.org/drawingml/2006/main">
            <a:ext uri="{FF2B5EF4-FFF2-40B4-BE49-F238E27FC236}">
              <a16:creationId xmlns:a16="http://schemas.microsoft.com/office/drawing/2014/main" id="{CA91152B-859A-46DC-9838-85D7122E2BC4}"/>
            </a:ext>
          </a:extLst>
        </cdr:cNvPr>
        <cdr:cNvCxnSpPr/>
      </cdr:nvCxnSpPr>
      <cdr:spPr>
        <a:xfrm xmlns:a="http://schemas.openxmlformats.org/drawingml/2006/main" flipH="1" flipV="1">
          <a:off x="2995613" y="1423988"/>
          <a:ext cx="19051" cy="409575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0.73646</cdr:x>
      <cdr:y>0.51215</cdr:y>
    </cdr:from>
    <cdr:to>
      <cdr:x>0.74236</cdr:x>
      <cdr:y>0.70602</cdr:y>
    </cdr:to>
    <cdr:cxnSp macro="">
      <cdr:nvCxnSpPr>
        <cdr:cNvPr id="19" name="Connecteur droit avec flèche 18">
          <a:extLst xmlns:a="http://schemas.openxmlformats.org/drawingml/2006/main">
            <a:ext uri="{FF2B5EF4-FFF2-40B4-BE49-F238E27FC236}">
              <a16:creationId xmlns:a16="http://schemas.microsoft.com/office/drawing/2014/main" id="{F9E6BC3F-7E1B-41AF-9F09-0C2C2866F3A4}"/>
            </a:ext>
          </a:extLst>
        </cdr:cNvPr>
        <cdr:cNvCxnSpPr/>
      </cdr:nvCxnSpPr>
      <cdr:spPr>
        <a:xfrm xmlns:a="http://schemas.openxmlformats.org/drawingml/2006/main" flipH="1" flipV="1">
          <a:off x="3367088" y="1404938"/>
          <a:ext cx="26989" cy="531813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0.83611</cdr:x>
      <cdr:y>0.32755</cdr:y>
    </cdr:from>
    <cdr:to>
      <cdr:x>0.83854</cdr:x>
      <cdr:y>0.51215</cdr:y>
    </cdr:to>
    <cdr:cxnSp macro="">
      <cdr:nvCxnSpPr>
        <cdr:cNvPr id="21" name="Connecteur droit avec flèche 20">
          <a:extLst xmlns:a="http://schemas.openxmlformats.org/drawingml/2006/main">
            <a:ext uri="{FF2B5EF4-FFF2-40B4-BE49-F238E27FC236}">
              <a16:creationId xmlns:a16="http://schemas.microsoft.com/office/drawing/2014/main" id="{00CF56D9-B11F-4132-9F51-BCBBB1A6E1E3}"/>
            </a:ext>
          </a:extLst>
        </cdr:cNvPr>
        <cdr:cNvCxnSpPr/>
      </cdr:nvCxnSpPr>
      <cdr:spPr>
        <a:xfrm xmlns:a="http://schemas.openxmlformats.org/drawingml/2006/main" flipH="1" flipV="1">
          <a:off x="3822701" y="898526"/>
          <a:ext cx="11112" cy="506412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0.92361</cdr:x>
      <cdr:y>0.20602</cdr:y>
    </cdr:from>
    <cdr:to>
      <cdr:x>0.92813</cdr:x>
      <cdr:y>0.51215</cdr:y>
    </cdr:to>
    <cdr:cxnSp macro="">
      <cdr:nvCxnSpPr>
        <cdr:cNvPr id="22" name="Connecteur droit avec flèche 21">
          <a:extLst xmlns:a="http://schemas.openxmlformats.org/drawingml/2006/main">
            <a:ext uri="{FF2B5EF4-FFF2-40B4-BE49-F238E27FC236}">
              <a16:creationId xmlns:a16="http://schemas.microsoft.com/office/drawing/2014/main" id="{5C1334FD-630A-4DDA-A954-D59686E4A3B4}"/>
            </a:ext>
          </a:extLst>
        </cdr:cNvPr>
        <cdr:cNvCxnSpPr/>
      </cdr:nvCxnSpPr>
      <cdr:spPr>
        <a:xfrm xmlns:a="http://schemas.openxmlformats.org/drawingml/2006/main" flipH="1" flipV="1">
          <a:off x="4222751" y="565151"/>
          <a:ext cx="20637" cy="839787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0</xdr:row>
      <xdr:rowOff>219075</xdr:rowOff>
    </xdr:from>
    <xdr:to>
      <xdr:col>18</xdr:col>
      <xdr:colOff>47625</xdr:colOff>
      <xdr:row>8</xdr:row>
      <xdr:rowOff>295275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7E2141E-8668-ED8B-C0C9-476A8341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11</xdr:row>
      <xdr:rowOff>133350</xdr:rowOff>
    </xdr:from>
    <xdr:to>
      <xdr:col>18</xdr:col>
      <xdr:colOff>38100</xdr:colOff>
      <xdr:row>19</xdr:row>
      <xdr:rowOff>209550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62D44E2-DB00-BDC0-F7A7-5A447D4C7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CI\cours\Statistiques\1_Statistiques%20&#224;%201%20et%202%20variables\exemple_stats.xlsx" TargetMode="External"/><Relationship Id="rId1" Type="http://schemas.openxmlformats.org/officeDocument/2006/relationships/externalLinkPath" Target="/CCI/cours/Statistiques/1_Statistiques%20&#224;%201%20et%202%20variables/exemple_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7">
          <cell r="C17">
            <v>44217</v>
          </cell>
          <cell r="D17">
            <v>44301</v>
          </cell>
          <cell r="E17">
            <v>44470</v>
          </cell>
        </row>
        <row r="18">
          <cell r="B18" t="str">
            <v>Achat</v>
          </cell>
          <cell r="C18">
            <v>503</v>
          </cell>
          <cell r="D18">
            <v>560</v>
          </cell>
          <cell r="E18">
            <v>635</v>
          </cell>
        </row>
        <row r="19">
          <cell r="B19" t="str">
            <v>Moyenne</v>
          </cell>
          <cell r="C19">
            <v>566</v>
          </cell>
          <cell r="D19">
            <v>566</v>
          </cell>
          <cell r="E19">
            <v>566</v>
          </cell>
        </row>
        <row r="28">
          <cell r="C28">
            <v>1</v>
          </cell>
          <cell r="D28">
            <v>2</v>
          </cell>
          <cell r="E28">
            <v>3</v>
          </cell>
          <cell r="F28">
            <v>4</v>
          </cell>
          <cell r="G28">
            <v>5</v>
          </cell>
          <cell r="H28">
            <v>6</v>
          </cell>
          <cell r="I28">
            <v>7</v>
          </cell>
          <cell r="J28">
            <v>8</v>
          </cell>
          <cell r="K28">
            <v>9</v>
          </cell>
          <cell r="L28">
            <v>10</v>
          </cell>
        </row>
        <row r="29">
          <cell r="B29" t="str">
            <v>Age</v>
          </cell>
          <cell r="C29">
            <v>5</v>
          </cell>
          <cell r="D29">
            <v>50</v>
          </cell>
          <cell r="E29">
            <v>45</v>
          </cell>
          <cell r="F29">
            <v>65</v>
          </cell>
          <cell r="G29">
            <v>15</v>
          </cell>
          <cell r="H29">
            <v>62</v>
          </cell>
          <cell r="I29">
            <v>18</v>
          </cell>
          <cell r="J29">
            <v>12</v>
          </cell>
          <cell r="K29">
            <v>75</v>
          </cell>
          <cell r="L29">
            <v>95</v>
          </cell>
        </row>
        <row r="30">
          <cell r="B30" t="str">
            <v>Moyenne</v>
          </cell>
          <cell r="C30">
            <v>44.2</v>
          </cell>
          <cell r="D30">
            <v>44.2</v>
          </cell>
          <cell r="E30">
            <v>44.2</v>
          </cell>
          <cell r="F30">
            <v>44.2</v>
          </cell>
          <cell r="G30">
            <v>44.2</v>
          </cell>
          <cell r="H30">
            <v>44.2</v>
          </cell>
          <cell r="I30">
            <v>44.2</v>
          </cell>
          <cell r="J30">
            <v>44.2</v>
          </cell>
          <cell r="K30">
            <v>44.2</v>
          </cell>
          <cell r="L30">
            <v>44.2</v>
          </cell>
        </row>
        <row r="38">
          <cell r="C38">
            <v>5</v>
          </cell>
          <cell r="D38">
            <v>14</v>
          </cell>
          <cell r="E38">
            <v>16</v>
          </cell>
          <cell r="F38">
            <v>18</v>
          </cell>
          <cell r="G38">
            <v>5</v>
          </cell>
          <cell r="H38">
            <v>10</v>
          </cell>
          <cell r="I38">
            <v>11</v>
          </cell>
          <cell r="J38">
            <v>14</v>
          </cell>
          <cell r="K38">
            <v>13</v>
          </cell>
          <cell r="L38">
            <v>18</v>
          </cell>
        </row>
        <row r="39">
          <cell r="B39" t="str">
            <v>Note au final</v>
          </cell>
          <cell r="C39">
            <v>14</v>
          </cell>
          <cell r="D39">
            <v>13</v>
          </cell>
          <cell r="E39">
            <v>11</v>
          </cell>
          <cell r="F39">
            <v>17</v>
          </cell>
          <cell r="G39">
            <v>3</v>
          </cell>
          <cell r="H39">
            <v>11</v>
          </cell>
          <cell r="I39">
            <v>16</v>
          </cell>
          <cell r="J39">
            <v>7</v>
          </cell>
          <cell r="K39">
            <v>13</v>
          </cell>
          <cell r="L39">
            <v>2</v>
          </cell>
        </row>
        <row r="57">
          <cell r="C57">
            <v>13</v>
          </cell>
          <cell r="D57">
            <v>14</v>
          </cell>
          <cell r="E57">
            <v>12</v>
          </cell>
          <cell r="F57">
            <v>18</v>
          </cell>
          <cell r="G57">
            <v>5</v>
          </cell>
          <cell r="H57">
            <v>10</v>
          </cell>
          <cell r="I57">
            <v>14</v>
          </cell>
          <cell r="J57">
            <v>8</v>
          </cell>
          <cell r="K57">
            <v>13</v>
          </cell>
          <cell r="L57">
            <v>3</v>
          </cell>
        </row>
        <row r="58">
          <cell r="B58" t="str">
            <v>Note au final</v>
          </cell>
          <cell r="C58">
            <v>14</v>
          </cell>
          <cell r="D58">
            <v>13</v>
          </cell>
          <cell r="E58">
            <v>11</v>
          </cell>
          <cell r="F58">
            <v>17</v>
          </cell>
          <cell r="G58">
            <v>3</v>
          </cell>
          <cell r="H58">
            <v>11</v>
          </cell>
          <cell r="I58">
            <v>16</v>
          </cell>
          <cell r="J58">
            <v>7</v>
          </cell>
          <cell r="K58">
            <v>13</v>
          </cell>
          <cell r="L58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F205-236C-4995-B750-76E048CF9491}">
  <dimension ref="A1:H21"/>
  <sheetViews>
    <sheetView tabSelected="1" workbookViewId="0">
      <selection activeCell="A15" sqref="A15:G17"/>
    </sheetView>
  </sheetViews>
  <sheetFormatPr baseColWidth="10" defaultRowHeight="26.25" x14ac:dyDescent="0.4"/>
  <cols>
    <col min="1" max="1" width="42.5703125" style="2" bestFit="1" customWidth="1"/>
    <col min="2" max="7" width="13.5703125" style="2" bestFit="1" customWidth="1"/>
    <col min="8" max="16384" width="11.42578125" style="2"/>
  </cols>
  <sheetData>
    <row r="1" spans="1:8" x14ac:dyDescent="0.4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8" x14ac:dyDescent="0.4">
      <c r="A2" s="3" t="s">
        <v>6</v>
      </c>
      <c r="B2" s="1">
        <v>15</v>
      </c>
      <c r="C2" s="1">
        <v>13</v>
      </c>
      <c r="D2" s="1">
        <v>17</v>
      </c>
      <c r="E2" s="1">
        <v>3</v>
      </c>
      <c r="F2" s="1">
        <v>5</v>
      </c>
      <c r="G2" s="1">
        <v>10</v>
      </c>
      <c r="H2" s="2">
        <f>AVERAGE(B2:G2)</f>
        <v>10.5</v>
      </c>
    </row>
    <row r="3" spans="1:8" x14ac:dyDescent="0.4">
      <c r="A3" s="3" t="s">
        <v>7</v>
      </c>
      <c r="B3" s="1">
        <v>7</v>
      </c>
      <c r="C3" s="1">
        <v>14</v>
      </c>
      <c r="D3" s="1">
        <v>16</v>
      </c>
      <c r="E3" s="1">
        <v>17</v>
      </c>
      <c r="F3" s="1">
        <v>8</v>
      </c>
      <c r="G3" s="1">
        <v>11</v>
      </c>
      <c r="H3" s="2">
        <f>AVERAGE(B3:G3)</f>
        <v>12.166666666666666</v>
      </c>
    </row>
    <row r="15" spans="1:8" x14ac:dyDescent="0.4">
      <c r="A15" s="3"/>
      <c r="B15" s="3"/>
      <c r="C15" s="3"/>
      <c r="D15" s="3"/>
      <c r="E15" s="3"/>
      <c r="F15" s="3"/>
      <c r="G15" s="3"/>
    </row>
    <row r="16" spans="1:8" x14ac:dyDescent="0.4">
      <c r="A16" s="3" t="s">
        <v>9</v>
      </c>
      <c r="B16" s="1">
        <v>138000</v>
      </c>
      <c r="C16" s="1">
        <v>131000</v>
      </c>
      <c r="D16" s="1">
        <v>250000</v>
      </c>
      <c r="E16" s="1">
        <v>340000</v>
      </c>
      <c r="F16" s="1">
        <v>120000</v>
      </c>
      <c r="G16" s="1">
        <v>98000</v>
      </c>
    </row>
    <row r="17" spans="1:7" x14ac:dyDescent="0.4">
      <c r="A17" s="3" t="s">
        <v>8</v>
      </c>
      <c r="B17" s="1">
        <v>42</v>
      </c>
      <c r="C17" s="1">
        <v>35</v>
      </c>
      <c r="D17" s="1">
        <v>72</v>
      </c>
      <c r="E17" s="1">
        <v>84</v>
      </c>
      <c r="F17" s="1">
        <v>42</v>
      </c>
      <c r="G17" s="1">
        <v>28</v>
      </c>
    </row>
    <row r="19" spans="1:7" x14ac:dyDescent="0.4">
      <c r="A19" s="2" t="s">
        <v>10</v>
      </c>
      <c r="B19" s="2" cm="1">
        <f t="array" ref="B19:C19">LINEST(B17:G17,B16:G16)</f>
        <v>2.2976382328424553E-4</v>
      </c>
      <c r="C19" s="2">
        <v>9.2573937204779284</v>
      </c>
    </row>
    <row r="20" spans="1:7" x14ac:dyDescent="0.4">
      <c r="A20" s="2" t="s">
        <v>11</v>
      </c>
      <c r="B20" s="2">
        <f>INTERCEPT(B17:G17,B16:G16)</f>
        <v>9.2573937204779142</v>
      </c>
    </row>
    <row r="21" spans="1:7" x14ac:dyDescent="0.4">
      <c r="A21" s="2">
        <f>CORREL(B17:G17,B16:G16)</f>
        <v>0.97948122068545107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D41A-DAE3-4E64-A025-E798BD367FC5}">
  <dimension ref="B2:L73"/>
  <sheetViews>
    <sheetView workbookViewId="0">
      <selection activeCell="C71" sqref="C71"/>
    </sheetView>
  </sheetViews>
  <sheetFormatPr baseColWidth="10" defaultColWidth="11.42578125" defaultRowHeight="26.25" x14ac:dyDescent="0.4"/>
  <cols>
    <col min="1" max="1" width="11.42578125" style="5"/>
    <col min="2" max="2" width="34" style="5" bestFit="1" customWidth="1"/>
    <col min="3" max="5" width="20.5703125" style="5" bestFit="1" customWidth="1"/>
    <col min="6" max="6" width="19.5703125" style="5" bestFit="1" customWidth="1"/>
    <col min="7" max="8" width="16.140625" style="5" bestFit="1" customWidth="1"/>
    <col min="9" max="16384" width="11.42578125" style="5"/>
  </cols>
  <sheetData>
    <row r="2" spans="2:10" x14ac:dyDescent="0.4">
      <c r="B2" s="4" t="s">
        <v>12</v>
      </c>
      <c r="C2" s="4">
        <v>4</v>
      </c>
      <c r="D2" s="4">
        <v>18</v>
      </c>
      <c r="E2" s="4">
        <v>7</v>
      </c>
      <c r="F2" s="4">
        <v>17</v>
      </c>
      <c r="G2" s="4">
        <v>12</v>
      </c>
      <c r="H2" s="4">
        <v>11</v>
      </c>
      <c r="I2" s="4">
        <v>14</v>
      </c>
      <c r="J2" s="4">
        <v>18</v>
      </c>
    </row>
    <row r="3" spans="2:10" x14ac:dyDescent="0.4">
      <c r="B3" s="4" t="s">
        <v>13</v>
      </c>
      <c r="C3" s="4">
        <v>1</v>
      </c>
      <c r="D3" s="4">
        <v>1</v>
      </c>
      <c r="E3" s="4">
        <v>5</v>
      </c>
      <c r="F3" s="4">
        <v>3</v>
      </c>
      <c r="G3" s="4">
        <v>3</v>
      </c>
      <c r="H3" s="4">
        <v>1</v>
      </c>
      <c r="I3" s="4">
        <v>3</v>
      </c>
      <c r="J3" s="4">
        <v>5</v>
      </c>
    </row>
    <row r="6" spans="2:10" x14ac:dyDescent="0.4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</row>
    <row r="7" spans="2:10" x14ac:dyDescent="0.4">
      <c r="B7" s="4" t="s">
        <v>0</v>
      </c>
      <c r="C7" s="4">
        <v>20</v>
      </c>
      <c r="D7" s="4">
        <v>13</v>
      </c>
      <c r="E7" s="4">
        <v>11</v>
      </c>
      <c r="F7" s="4">
        <v>5</v>
      </c>
      <c r="G7" s="4">
        <v>4</v>
      </c>
      <c r="H7" s="4">
        <v>17</v>
      </c>
    </row>
    <row r="8" spans="2:10" x14ac:dyDescent="0.4">
      <c r="B8" s="4" t="s">
        <v>2</v>
      </c>
      <c r="C8" s="4">
        <v>18</v>
      </c>
      <c r="D8" s="4">
        <v>15</v>
      </c>
      <c r="E8" s="4">
        <v>9</v>
      </c>
      <c r="F8" s="4">
        <v>7</v>
      </c>
      <c r="G8" s="4">
        <v>9</v>
      </c>
      <c r="H8" s="4">
        <v>12</v>
      </c>
    </row>
    <row r="12" spans="2:10" x14ac:dyDescent="0.4"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s">
        <v>20</v>
      </c>
    </row>
    <row r="13" spans="2:10" x14ac:dyDescent="0.4">
      <c r="B13" s="4" t="s">
        <v>21</v>
      </c>
      <c r="C13" s="4">
        <v>40</v>
      </c>
      <c r="D13" s="4">
        <v>40</v>
      </c>
      <c r="E13" s="4">
        <v>10</v>
      </c>
      <c r="F13" s="4">
        <v>0</v>
      </c>
      <c r="G13" s="4">
        <v>0</v>
      </c>
      <c r="H13" s="4">
        <v>10</v>
      </c>
      <c r="I13" s="5">
        <f>SUM(C13:H13)</f>
        <v>100</v>
      </c>
    </row>
    <row r="14" spans="2:10" x14ac:dyDescent="0.4">
      <c r="B14" s="4"/>
      <c r="C14" s="4"/>
      <c r="D14" s="4"/>
      <c r="E14" s="4"/>
      <c r="F14" s="4"/>
      <c r="G14" s="4"/>
      <c r="H14" s="4"/>
    </row>
    <row r="17" spans="2:12" x14ac:dyDescent="0.4">
      <c r="B17" s="4" t="s">
        <v>22</v>
      </c>
      <c r="C17" s="6">
        <v>44217</v>
      </c>
      <c r="D17" s="6">
        <v>44301</v>
      </c>
      <c r="E17" s="6">
        <v>44470</v>
      </c>
    </row>
    <row r="18" spans="2:12" x14ac:dyDescent="0.4">
      <c r="B18" s="4" t="s">
        <v>23</v>
      </c>
      <c r="C18" s="4">
        <v>503</v>
      </c>
      <c r="D18" s="4">
        <v>560</v>
      </c>
      <c r="E18" s="4">
        <v>635</v>
      </c>
    </row>
    <row r="19" spans="2:12" x14ac:dyDescent="0.4">
      <c r="B19" s="4" t="s">
        <v>24</v>
      </c>
      <c r="C19" s="4">
        <f>AVERAGE($C$18:$E$18)</f>
        <v>566</v>
      </c>
      <c r="D19" s="4">
        <f t="shared" ref="D19:E19" si="0">AVERAGE($C$18:$E$18)</f>
        <v>566</v>
      </c>
      <c r="E19" s="4">
        <f t="shared" si="0"/>
        <v>566</v>
      </c>
    </row>
    <row r="28" spans="2:12" x14ac:dyDescent="0.4">
      <c r="B28" s="3" t="s">
        <v>25</v>
      </c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</row>
    <row r="29" spans="2:12" x14ac:dyDescent="0.4">
      <c r="B29" s="3" t="s">
        <v>26</v>
      </c>
      <c r="C29" s="4">
        <v>5</v>
      </c>
      <c r="D29" s="4">
        <v>50</v>
      </c>
      <c r="E29" s="4">
        <v>45</v>
      </c>
      <c r="F29" s="4">
        <v>65</v>
      </c>
      <c r="G29" s="4">
        <v>15</v>
      </c>
      <c r="H29" s="4">
        <v>62</v>
      </c>
      <c r="I29" s="4">
        <v>18</v>
      </c>
      <c r="J29" s="4">
        <v>12</v>
      </c>
      <c r="K29" s="4">
        <v>75</v>
      </c>
      <c r="L29" s="4">
        <v>95</v>
      </c>
    </row>
    <row r="30" spans="2:12" x14ac:dyDescent="0.4">
      <c r="B30" s="3" t="s">
        <v>24</v>
      </c>
      <c r="C30" s="4">
        <f>AVERAGE($C$29:$L$29)</f>
        <v>44.2</v>
      </c>
      <c r="D30" s="4">
        <f t="shared" ref="D30:L30" si="1">AVERAGE($C$29:$L$29)</f>
        <v>44.2</v>
      </c>
      <c r="E30" s="4">
        <f t="shared" si="1"/>
        <v>44.2</v>
      </c>
      <c r="F30" s="4">
        <f t="shared" si="1"/>
        <v>44.2</v>
      </c>
      <c r="G30" s="4">
        <f t="shared" si="1"/>
        <v>44.2</v>
      </c>
      <c r="H30" s="4">
        <f t="shared" si="1"/>
        <v>44.2</v>
      </c>
      <c r="I30" s="4">
        <f t="shared" si="1"/>
        <v>44.2</v>
      </c>
      <c r="J30" s="4">
        <f t="shared" si="1"/>
        <v>44.2</v>
      </c>
      <c r="K30" s="4">
        <f t="shared" si="1"/>
        <v>44.2</v>
      </c>
      <c r="L30" s="4">
        <f t="shared" si="1"/>
        <v>44.2</v>
      </c>
    </row>
    <row r="31" spans="2:12" x14ac:dyDescent="0.4">
      <c r="B31" s="3" t="s">
        <v>27</v>
      </c>
      <c r="C31" s="4">
        <f>C29-C30</f>
        <v>-39.200000000000003</v>
      </c>
      <c r="D31" s="4">
        <f t="shared" ref="D31:L31" si="2">D29-D30</f>
        <v>5.7999999999999972</v>
      </c>
      <c r="E31" s="4">
        <f t="shared" si="2"/>
        <v>0.79999999999999716</v>
      </c>
      <c r="F31" s="4">
        <f t="shared" si="2"/>
        <v>20.799999999999997</v>
      </c>
      <c r="G31" s="4">
        <f t="shared" si="2"/>
        <v>-29.200000000000003</v>
      </c>
      <c r="H31" s="4">
        <f t="shared" si="2"/>
        <v>17.799999999999997</v>
      </c>
      <c r="I31" s="4">
        <f t="shared" si="2"/>
        <v>-26.200000000000003</v>
      </c>
      <c r="J31" s="4">
        <f t="shared" si="2"/>
        <v>-32.200000000000003</v>
      </c>
      <c r="K31" s="4">
        <f t="shared" si="2"/>
        <v>30.799999999999997</v>
      </c>
      <c r="L31" s="4">
        <f t="shared" si="2"/>
        <v>50.8</v>
      </c>
    </row>
    <row r="32" spans="2:12" x14ac:dyDescent="0.4">
      <c r="B32" s="3" t="s">
        <v>28</v>
      </c>
      <c r="C32" s="4">
        <f>C31*C31</f>
        <v>1536.6400000000003</v>
      </c>
      <c r="D32" s="7">
        <f t="shared" ref="D32:L32" si="3">D31*D31</f>
        <v>33.639999999999965</v>
      </c>
      <c r="E32" s="4">
        <f t="shared" si="3"/>
        <v>0.63999999999999546</v>
      </c>
      <c r="F32" s="4">
        <f t="shared" si="3"/>
        <v>432.63999999999987</v>
      </c>
      <c r="G32" s="4">
        <f t="shared" si="3"/>
        <v>852.64000000000021</v>
      </c>
      <c r="H32" s="4">
        <f t="shared" si="3"/>
        <v>316.83999999999992</v>
      </c>
      <c r="I32" s="4">
        <f t="shared" si="3"/>
        <v>686.44000000000017</v>
      </c>
      <c r="J32" s="4">
        <f t="shared" si="3"/>
        <v>1036.8400000000001</v>
      </c>
      <c r="K32" s="4">
        <f t="shared" si="3"/>
        <v>948.63999999999987</v>
      </c>
      <c r="L32" s="4">
        <f t="shared" si="3"/>
        <v>2580.64</v>
      </c>
    </row>
    <row r="33" spans="2:12" x14ac:dyDescent="0.4">
      <c r="B33" s="3" t="s">
        <v>29</v>
      </c>
      <c r="C33" s="4">
        <f>SUM(C32:L32)/10</f>
        <v>842.55999999999983</v>
      </c>
    </row>
    <row r="34" spans="2:12" x14ac:dyDescent="0.4">
      <c r="B34" s="3" t="s">
        <v>30</v>
      </c>
      <c r="C34" s="4">
        <f>SQRT(C33)</f>
        <v>29.026884090442774</v>
      </c>
    </row>
    <row r="38" spans="2:12" x14ac:dyDescent="0.4">
      <c r="B38" s="3" t="s">
        <v>31</v>
      </c>
      <c r="C38" s="4">
        <v>5</v>
      </c>
      <c r="D38" s="4">
        <v>14</v>
      </c>
      <c r="E38" s="4">
        <v>16</v>
      </c>
      <c r="F38" s="4">
        <v>18</v>
      </c>
      <c r="G38" s="4">
        <v>5</v>
      </c>
      <c r="H38" s="4">
        <v>10</v>
      </c>
      <c r="I38" s="4">
        <v>11</v>
      </c>
      <c r="J38" s="4">
        <v>14</v>
      </c>
      <c r="K38" s="4">
        <v>13</v>
      </c>
      <c r="L38" s="4">
        <v>18</v>
      </c>
    </row>
    <row r="39" spans="2:12" x14ac:dyDescent="0.4">
      <c r="B39" s="3" t="s">
        <v>32</v>
      </c>
      <c r="C39" s="4">
        <v>14</v>
      </c>
      <c r="D39" s="4">
        <v>13</v>
      </c>
      <c r="E39" s="4">
        <v>11</v>
      </c>
      <c r="F39" s="4">
        <v>17</v>
      </c>
      <c r="G39" s="4">
        <v>3</v>
      </c>
      <c r="H39" s="4">
        <v>11</v>
      </c>
      <c r="I39" s="4">
        <v>16</v>
      </c>
      <c r="J39" s="4">
        <v>7</v>
      </c>
      <c r="K39" s="4">
        <v>13</v>
      </c>
      <c r="L39" s="4">
        <v>2</v>
      </c>
    </row>
    <row r="40" spans="2:12" x14ac:dyDescent="0.4">
      <c r="B40" s="3" t="s">
        <v>33</v>
      </c>
      <c r="C40" s="4">
        <f>AVERAGE(C38:L38)</f>
        <v>12.4</v>
      </c>
      <c r="D40" s="4"/>
      <c r="E40" s="4"/>
      <c r="F40" s="4"/>
      <c r="G40" s="4"/>
      <c r="H40" s="4"/>
      <c r="I40" s="4"/>
      <c r="J40" s="4"/>
      <c r="K40" s="4"/>
      <c r="L40" s="4"/>
    </row>
    <row r="41" spans="2:12" x14ac:dyDescent="0.4">
      <c r="B41" s="3" t="s">
        <v>34</v>
      </c>
      <c r="C41" s="4">
        <f>AVERAGE(C39:L39)</f>
        <v>10.7</v>
      </c>
      <c r="D41" s="4"/>
      <c r="E41" s="4"/>
      <c r="F41" s="4"/>
      <c r="G41" s="4"/>
      <c r="H41" s="4"/>
      <c r="I41" s="4"/>
      <c r="J41" s="4"/>
      <c r="K41" s="4"/>
      <c r="L41" s="4"/>
    </row>
    <row r="42" spans="2:12" x14ac:dyDescent="0.4">
      <c r="B42" s="3" t="s">
        <v>35</v>
      </c>
      <c r="C42" s="4">
        <f>C38-$C$40</f>
        <v>-7.4</v>
      </c>
      <c r="D42" s="4">
        <f t="shared" ref="D42:L42" si="4">D38-$C$40</f>
        <v>1.5999999999999996</v>
      </c>
      <c r="E42" s="4">
        <f t="shared" si="4"/>
        <v>3.5999999999999996</v>
      </c>
      <c r="F42" s="4">
        <f t="shared" si="4"/>
        <v>5.6</v>
      </c>
      <c r="G42" s="4">
        <f t="shared" si="4"/>
        <v>-7.4</v>
      </c>
      <c r="H42" s="4">
        <f t="shared" si="4"/>
        <v>-2.4000000000000004</v>
      </c>
      <c r="I42" s="4">
        <f t="shared" si="4"/>
        <v>-1.4000000000000004</v>
      </c>
      <c r="J42" s="4">
        <f t="shared" si="4"/>
        <v>1.5999999999999996</v>
      </c>
      <c r="K42" s="4">
        <f t="shared" si="4"/>
        <v>0.59999999999999964</v>
      </c>
      <c r="L42" s="4">
        <f t="shared" si="4"/>
        <v>5.6</v>
      </c>
    </row>
    <row r="43" spans="2:12" x14ac:dyDescent="0.4">
      <c r="B43" s="3" t="s">
        <v>36</v>
      </c>
      <c r="C43" s="4">
        <f>C39-$C$41</f>
        <v>3.3000000000000007</v>
      </c>
      <c r="D43" s="4">
        <f t="shared" ref="D43:L43" si="5">D39-$C$41</f>
        <v>2.3000000000000007</v>
      </c>
      <c r="E43" s="4">
        <f t="shared" si="5"/>
        <v>0.30000000000000071</v>
      </c>
      <c r="F43" s="4">
        <f t="shared" si="5"/>
        <v>6.3000000000000007</v>
      </c>
      <c r="G43" s="4">
        <f t="shared" si="5"/>
        <v>-7.6999999999999993</v>
      </c>
      <c r="H43" s="4">
        <f t="shared" si="5"/>
        <v>0.30000000000000071</v>
      </c>
      <c r="I43" s="4">
        <f t="shared" si="5"/>
        <v>5.3000000000000007</v>
      </c>
      <c r="J43" s="4">
        <f t="shared" si="5"/>
        <v>-3.6999999999999993</v>
      </c>
      <c r="K43" s="4">
        <f t="shared" si="5"/>
        <v>2.3000000000000007</v>
      </c>
      <c r="L43" s="4">
        <f t="shared" si="5"/>
        <v>-8.6999999999999993</v>
      </c>
    </row>
    <row r="44" spans="2:12" x14ac:dyDescent="0.4">
      <c r="B44" s="3" t="s">
        <v>37</v>
      </c>
      <c r="C44" s="4">
        <f>C42*C42</f>
        <v>54.760000000000005</v>
      </c>
      <c r="D44" s="4">
        <f t="shared" ref="D44:L45" si="6">D42*D42</f>
        <v>2.5599999999999987</v>
      </c>
      <c r="E44" s="4">
        <f t="shared" si="6"/>
        <v>12.959999999999997</v>
      </c>
      <c r="F44" s="4">
        <f t="shared" si="6"/>
        <v>31.359999999999996</v>
      </c>
      <c r="G44" s="4">
        <f t="shared" si="6"/>
        <v>54.760000000000005</v>
      </c>
      <c r="H44" s="4">
        <f t="shared" si="6"/>
        <v>5.7600000000000016</v>
      </c>
      <c r="I44" s="4">
        <f t="shared" si="6"/>
        <v>1.9600000000000011</v>
      </c>
      <c r="J44" s="4">
        <f t="shared" si="6"/>
        <v>2.5599999999999987</v>
      </c>
      <c r="K44" s="4">
        <f t="shared" si="6"/>
        <v>0.3599999999999996</v>
      </c>
      <c r="L44" s="4">
        <f t="shared" si="6"/>
        <v>31.359999999999996</v>
      </c>
    </row>
    <row r="45" spans="2:12" x14ac:dyDescent="0.4">
      <c r="B45" s="3" t="s">
        <v>38</v>
      </c>
      <c r="C45" s="4">
        <f>C43*C43</f>
        <v>10.890000000000004</v>
      </c>
      <c r="D45" s="4">
        <f t="shared" si="6"/>
        <v>5.2900000000000036</v>
      </c>
      <c r="E45" s="4">
        <f t="shared" si="6"/>
        <v>9.0000000000000427E-2</v>
      </c>
      <c r="F45" s="4">
        <f t="shared" si="6"/>
        <v>39.690000000000012</v>
      </c>
      <c r="G45" s="4">
        <f t="shared" si="6"/>
        <v>59.289999999999992</v>
      </c>
      <c r="H45" s="4">
        <f t="shared" si="6"/>
        <v>9.0000000000000427E-2</v>
      </c>
      <c r="I45" s="4">
        <f t="shared" si="6"/>
        <v>28.090000000000007</v>
      </c>
      <c r="J45" s="4">
        <f t="shared" si="6"/>
        <v>13.689999999999994</v>
      </c>
      <c r="K45" s="4">
        <f t="shared" si="6"/>
        <v>5.2900000000000036</v>
      </c>
      <c r="L45" s="4">
        <f t="shared" si="6"/>
        <v>75.689999999999984</v>
      </c>
    </row>
    <row r="46" spans="2:12" x14ac:dyDescent="0.4">
      <c r="B46" s="3" t="s">
        <v>39</v>
      </c>
      <c r="C46" s="4">
        <f>SUM(C44:L44)/10</f>
        <v>19.84</v>
      </c>
      <c r="D46" s="4"/>
      <c r="E46" s="4"/>
      <c r="F46" s="4"/>
      <c r="G46" s="4"/>
      <c r="H46" s="4"/>
      <c r="I46" s="4"/>
      <c r="J46" s="4"/>
      <c r="K46" s="4"/>
      <c r="L46" s="4"/>
    </row>
    <row r="47" spans="2:12" x14ac:dyDescent="0.4">
      <c r="B47" s="3" t="s">
        <v>40</v>
      </c>
      <c r="C47" s="4">
        <f>SUM(C45:L45)/10</f>
        <v>23.810000000000002</v>
      </c>
      <c r="D47" s="4"/>
      <c r="E47" s="4"/>
      <c r="F47" s="4"/>
      <c r="G47" s="4"/>
      <c r="H47" s="4"/>
      <c r="I47" s="4"/>
      <c r="J47" s="4"/>
      <c r="K47" s="4"/>
      <c r="L47" s="4"/>
    </row>
    <row r="48" spans="2:12" x14ac:dyDescent="0.4">
      <c r="B48" s="3" t="s">
        <v>41</v>
      </c>
      <c r="C48" s="4">
        <f>C42*C43</f>
        <v>-24.420000000000005</v>
      </c>
      <c r="D48" s="4">
        <f t="shared" ref="D48:L48" si="7">D42*D43</f>
        <v>3.68</v>
      </c>
      <c r="E48" s="4">
        <f t="shared" si="7"/>
        <v>1.0800000000000025</v>
      </c>
      <c r="F48" s="4">
        <f t="shared" si="7"/>
        <v>35.28</v>
      </c>
      <c r="G48" s="4">
        <f t="shared" si="7"/>
        <v>56.98</v>
      </c>
      <c r="H48" s="4">
        <f t="shared" si="7"/>
        <v>-0.72000000000000186</v>
      </c>
      <c r="I48" s="4">
        <f t="shared" si="7"/>
        <v>-7.4200000000000026</v>
      </c>
      <c r="J48" s="4">
        <f t="shared" si="7"/>
        <v>-5.9199999999999973</v>
      </c>
      <c r="K48" s="4">
        <f t="shared" si="7"/>
        <v>1.3799999999999997</v>
      </c>
      <c r="L48" s="4">
        <f t="shared" si="7"/>
        <v>-48.719999999999992</v>
      </c>
    </row>
    <row r="49" spans="2:12" x14ac:dyDescent="0.4">
      <c r="B49" s="3" t="s">
        <v>42</v>
      </c>
      <c r="C49" s="4">
        <f>SUM(C48:L48)</f>
        <v>11.20000000000001</v>
      </c>
      <c r="D49" s="4"/>
      <c r="E49" s="4"/>
      <c r="F49" s="4"/>
      <c r="G49" s="4"/>
      <c r="H49" s="4"/>
      <c r="I49" s="4"/>
      <c r="J49" s="4"/>
      <c r="K49" s="4"/>
      <c r="L49" s="4"/>
    </row>
    <row r="50" spans="2:12" x14ac:dyDescent="0.4">
      <c r="B50" s="3" t="s">
        <v>43</v>
      </c>
      <c r="C50" s="4">
        <f>C49/10</f>
        <v>1.120000000000001</v>
      </c>
      <c r="D50" s="4"/>
      <c r="E50" s="4"/>
      <c r="F50" s="4"/>
      <c r="G50" s="4"/>
      <c r="H50" s="4"/>
      <c r="I50" s="4"/>
      <c r="J50" s="4"/>
      <c r="K50" s="4"/>
      <c r="L50" s="4"/>
    </row>
    <row r="51" spans="2:12" x14ac:dyDescent="0.4">
      <c r="B51" s="3" t="s">
        <v>44</v>
      </c>
      <c r="C51" s="4">
        <f>C50/(SQRT(C46)*SQRT(C47))</f>
        <v>5.1530871934719863E-2</v>
      </c>
    </row>
    <row r="57" spans="2:12" x14ac:dyDescent="0.4">
      <c r="B57" s="3" t="s">
        <v>31</v>
      </c>
      <c r="C57" s="4">
        <v>13</v>
      </c>
      <c r="D57" s="4">
        <v>14</v>
      </c>
      <c r="E57" s="4">
        <v>12</v>
      </c>
      <c r="F57" s="4">
        <v>18</v>
      </c>
      <c r="G57" s="4">
        <v>5</v>
      </c>
      <c r="H57" s="4">
        <v>10</v>
      </c>
      <c r="I57" s="4">
        <v>14</v>
      </c>
      <c r="J57" s="4">
        <v>8</v>
      </c>
      <c r="K57" s="4">
        <v>13</v>
      </c>
      <c r="L57" s="4">
        <v>3</v>
      </c>
    </row>
    <row r="58" spans="2:12" x14ac:dyDescent="0.4">
      <c r="B58" s="3" t="s">
        <v>32</v>
      </c>
      <c r="C58" s="4">
        <v>14</v>
      </c>
      <c r="D58" s="4">
        <v>13</v>
      </c>
      <c r="E58" s="4">
        <v>11</v>
      </c>
      <c r="F58" s="4">
        <v>17</v>
      </c>
      <c r="G58" s="4">
        <v>3</v>
      </c>
      <c r="H58" s="4">
        <v>11</v>
      </c>
      <c r="I58" s="4">
        <v>16</v>
      </c>
      <c r="J58" s="4">
        <v>7</v>
      </c>
      <c r="K58" s="4">
        <v>13</v>
      </c>
      <c r="L58" s="4">
        <v>2</v>
      </c>
    </row>
    <row r="59" spans="2:12" x14ac:dyDescent="0.4">
      <c r="B59" s="3" t="s">
        <v>33</v>
      </c>
      <c r="C59" s="4">
        <f>AVERAGE(C57:L57)</f>
        <v>11</v>
      </c>
      <c r="D59" s="4"/>
      <c r="E59" s="4"/>
      <c r="F59" s="4"/>
      <c r="G59" s="4"/>
      <c r="H59" s="4"/>
      <c r="I59" s="4"/>
      <c r="J59" s="4"/>
      <c r="K59" s="4"/>
      <c r="L59" s="4"/>
    </row>
    <row r="60" spans="2:12" x14ac:dyDescent="0.4">
      <c r="B60" s="3" t="s">
        <v>34</v>
      </c>
      <c r="C60" s="4">
        <f>AVERAGE(C58:L58)</f>
        <v>10.7</v>
      </c>
      <c r="D60" s="4"/>
      <c r="E60" s="4"/>
      <c r="F60" s="4"/>
      <c r="G60" s="4"/>
      <c r="H60" s="4"/>
      <c r="I60" s="4"/>
      <c r="J60" s="4"/>
      <c r="K60" s="4"/>
      <c r="L60" s="4"/>
    </row>
    <row r="61" spans="2:12" x14ac:dyDescent="0.4">
      <c r="B61" s="3" t="s">
        <v>35</v>
      </c>
      <c r="C61" s="4">
        <f>C57-$C$59</f>
        <v>2</v>
      </c>
      <c r="D61" s="4">
        <f t="shared" ref="D61:L61" si="8">D57-$C$59</f>
        <v>3</v>
      </c>
      <c r="E61" s="4">
        <f t="shared" si="8"/>
        <v>1</v>
      </c>
      <c r="F61" s="4">
        <f t="shared" si="8"/>
        <v>7</v>
      </c>
      <c r="G61" s="4">
        <f t="shared" si="8"/>
        <v>-6</v>
      </c>
      <c r="H61" s="4">
        <f t="shared" si="8"/>
        <v>-1</v>
      </c>
      <c r="I61" s="4">
        <f t="shared" si="8"/>
        <v>3</v>
      </c>
      <c r="J61" s="4">
        <f t="shared" si="8"/>
        <v>-3</v>
      </c>
      <c r="K61" s="4">
        <f t="shared" si="8"/>
        <v>2</v>
      </c>
      <c r="L61" s="4">
        <f t="shared" si="8"/>
        <v>-8</v>
      </c>
    </row>
    <row r="62" spans="2:12" x14ac:dyDescent="0.4">
      <c r="B62" s="8" t="s">
        <v>36</v>
      </c>
      <c r="C62" s="4">
        <f>C58-$C$60</f>
        <v>3.3000000000000007</v>
      </c>
      <c r="D62" s="4">
        <f t="shared" ref="D62:L62" si="9">D58-$C$60</f>
        <v>2.3000000000000007</v>
      </c>
      <c r="E62" s="4">
        <f t="shared" si="9"/>
        <v>0.30000000000000071</v>
      </c>
      <c r="F62" s="4">
        <f t="shared" si="9"/>
        <v>6.3000000000000007</v>
      </c>
      <c r="G62" s="4">
        <f t="shared" si="9"/>
        <v>-7.6999999999999993</v>
      </c>
      <c r="H62" s="4">
        <f t="shared" si="9"/>
        <v>0.30000000000000071</v>
      </c>
      <c r="I62" s="4">
        <f t="shared" si="9"/>
        <v>5.3000000000000007</v>
      </c>
      <c r="J62" s="4">
        <f t="shared" si="9"/>
        <v>-3.6999999999999993</v>
      </c>
      <c r="K62" s="4">
        <f t="shared" si="9"/>
        <v>2.3000000000000007</v>
      </c>
      <c r="L62" s="4">
        <f t="shared" si="9"/>
        <v>-8.6999999999999993</v>
      </c>
    </row>
    <row r="63" spans="2:12" x14ac:dyDescent="0.4">
      <c r="B63" s="9" t="s">
        <v>37</v>
      </c>
      <c r="C63" s="4">
        <f>C61*C61</f>
        <v>4</v>
      </c>
      <c r="D63" s="4">
        <f t="shared" ref="D63:L64" si="10">D61*D61</f>
        <v>9</v>
      </c>
      <c r="E63" s="4">
        <f t="shared" si="10"/>
        <v>1</v>
      </c>
      <c r="F63" s="4">
        <f t="shared" si="10"/>
        <v>49</v>
      </c>
      <c r="G63" s="4">
        <f t="shared" si="10"/>
        <v>36</v>
      </c>
      <c r="H63" s="4">
        <f t="shared" si="10"/>
        <v>1</v>
      </c>
      <c r="I63" s="4">
        <f t="shared" si="10"/>
        <v>9</v>
      </c>
      <c r="J63" s="4">
        <f t="shared" si="10"/>
        <v>9</v>
      </c>
      <c r="K63" s="4">
        <f t="shared" si="10"/>
        <v>4</v>
      </c>
      <c r="L63" s="4">
        <f t="shared" si="10"/>
        <v>64</v>
      </c>
    </row>
    <row r="64" spans="2:12" x14ac:dyDescent="0.4">
      <c r="B64" s="9" t="s">
        <v>38</v>
      </c>
      <c r="C64" s="4">
        <f>C62*C62</f>
        <v>10.890000000000004</v>
      </c>
      <c r="D64" s="4">
        <f t="shared" si="10"/>
        <v>5.2900000000000036</v>
      </c>
      <c r="E64" s="4">
        <f t="shared" si="10"/>
        <v>9.0000000000000427E-2</v>
      </c>
      <c r="F64" s="4">
        <f t="shared" si="10"/>
        <v>39.690000000000012</v>
      </c>
      <c r="G64" s="4">
        <f t="shared" si="10"/>
        <v>59.289999999999992</v>
      </c>
      <c r="H64" s="4">
        <f t="shared" si="10"/>
        <v>9.0000000000000427E-2</v>
      </c>
      <c r="I64" s="4">
        <f t="shared" si="10"/>
        <v>28.090000000000007</v>
      </c>
      <c r="J64" s="4">
        <f t="shared" si="10"/>
        <v>13.689999999999994</v>
      </c>
      <c r="K64" s="4">
        <f t="shared" si="10"/>
        <v>5.2900000000000036</v>
      </c>
      <c r="L64" s="4">
        <f t="shared" si="10"/>
        <v>75.689999999999984</v>
      </c>
    </row>
    <row r="65" spans="2:12" x14ac:dyDescent="0.4">
      <c r="B65" s="9" t="s">
        <v>45</v>
      </c>
      <c r="C65" s="4">
        <f>SUM(C63:L63)/10</f>
        <v>18.600000000000001</v>
      </c>
      <c r="D65" s="4"/>
      <c r="E65" s="4"/>
      <c r="F65" s="4"/>
      <c r="G65" s="4"/>
      <c r="H65" s="4"/>
      <c r="I65" s="4"/>
      <c r="J65" s="4"/>
      <c r="K65" s="4"/>
      <c r="L65" s="4"/>
    </row>
    <row r="66" spans="2:12" x14ac:dyDescent="0.4">
      <c r="B66" s="9" t="s">
        <v>46</v>
      </c>
      <c r="C66" s="4">
        <f>SUM(C64:L64)/10</f>
        <v>23.810000000000002</v>
      </c>
      <c r="D66" s="4"/>
      <c r="E66" s="4"/>
      <c r="F66" s="4"/>
      <c r="G66" s="4"/>
      <c r="H66" s="4"/>
      <c r="I66" s="4"/>
      <c r="J66" s="4"/>
      <c r="K66" s="4"/>
      <c r="L66" s="4"/>
    </row>
    <row r="67" spans="2:12" x14ac:dyDescent="0.4">
      <c r="B67" s="3" t="s">
        <v>41</v>
      </c>
      <c r="C67" s="4">
        <f t="shared" ref="C67:L67" si="11">C61*C62</f>
        <v>6.6000000000000014</v>
      </c>
      <c r="D67" s="4">
        <f t="shared" si="11"/>
        <v>6.9000000000000021</v>
      </c>
      <c r="E67" s="4">
        <f t="shared" si="11"/>
        <v>0.30000000000000071</v>
      </c>
      <c r="F67" s="4">
        <f t="shared" si="11"/>
        <v>44.100000000000009</v>
      </c>
      <c r="G67" s="4">
        <f t="shared" si="11"/>
        <v>46.199999999999996</v>
      </c>
      <c r="H67" s="4">
        <f t="shared" si="11"/>
        <v>-0.30000000000000071</v>
      </c>
      <c r="I67" s="4">
        <f t="shared" si="11"/>
        <v>15.900000000000002</v>
      </c>
      <c r="J67" s="4">
        <f t="shared" si="11"/>
        <v>11.099999999999998</v>
      </c>
      <c r="K67" s="4">
        <f t="shared" si="11"/>
        <v>4.6000000000000014</v>
      </c>
      <c r="L67" s="4">
        <f t="shared" si="11"/>
        <v>69.599999999999994</v>
      </c>
    </row>
    <row r="68" spans="2:12" x14ac:dyDescent="0.4">
      <c r="B68" s="3" t="s">
        <v>42</v>
      </c>
      <c r="C68" s="4">
        <f>SUM(C67:L67)</f>
        <v>205</v>
      </c>
      <c r="D68" s="4"/>
      <c r="E68" s="4"/>
      <c r="F68" s="4"/>
      <c r="G68" s="4"/>
      <c r="H68" s="4"/>
      <c r="I68" s="4"/>
      <c r="J68" s="4"/>
      <c r="K68" s="4"/>
      <c r="L68" s="4"/>
    </row>
    <row r="69" spans="2:12" x14ac:dyDescent="0.4">
      <c r="B69" s="3" t="s">
        <v>43</v>
      </c>
      <c r="C69" s="4">
        <f>C68/10</f>
        <v>20.5</v>
      </c>
      <c r="D69" s="4"/>
      <c r="E69" s="4"/>
      <c r="F69" s="4"/>
      <c r="G69" s="4"/>
      <c r="H69" s="4"/>
      <c r="I69" s="4"/>
      <c r="J69" s="4"/>
      <c r="K69" s="4"/>
      <c r="L69" s="4"/>
    </row>
    <row r="70" spans="2:12" x14ac:dyDescent="0.4">
      <c r="B70" s="9" t="s">
        <v>47</v>
      </c>
      <c r="C70" s="4">
        <f>C69/C65</f>
        <v>1.1021505376344085</v>
      </c>
    </row>
    <row r="71" spans="2:12" x14ac:dyDescent="0.4">
      <c r="B71" s="9" t="s">
        <v>44</v>
      </c>
      <c r="C71" s="4">
        <f>C69/(SQRT(C65)*SQRT(C66))</f>
        <v>0.97413173351992821</v>
      </c>
    </row>
    <row r="73" spans="2:12" x14ac:dyDescent="0.4">
      <c r="C73" s="5">
        <f>COVAR(C57:L57,C58:L58)</f>
        <v>20.5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4EA4-973B-401F-8FDE-29CADD943AA8}">
  <dimension ref="A1:K7"/>
  <sheetViews>
    <sheetView workbookViewId="0">
      <selection activeCell="K4" sqref="B4:K4"/>
    </sheetView>
  </sheetViews>
  <sheetFormatPr baseColWidth="10" defaultRowHeight="26.25" x14ac:dyDescent="0.4"/>
  <cols>
    <col min="1" max="1" width="36.42578125" style="10" bestFit="1" customWidth="1"/>
    <col min="2" max="16384" width="11.42578125" style="10"/>
  </cols>
  <sheetData>
    <row r="1" spans="1:11" x14ac:dyDescent="0.4">
      <c r="A1" s="3" t="s">
        <v>48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4">
      <c r="A2" s="3" t="s">
        <v>49</v>
      </c>
      <c r="B2" s="1">
        <v>18</v>
      </c>
      <c r="C2" s="1">
        <v>30</v>
      </c>
      <c r="D2" s="1">
        <v>45</v>
      </c>
      <c r="E2" s="1">
        <v>73</v>
      </c>
      <c r="F2" s="1">
        <v>115</v>
      </c>
      <c r="G2" s="1">
        <v>180</v>
      </c>
      <c r="H2" s="1">
        <f t="shared" ref="H2:K2" si="0">12*EXP(0.45*H1)</f>
        <v>280.03277497131251</v>
      </c>
      <c r="I2" s="1">
        <v>440</v>
      </c>
      <c r="J2" s="1">
        <v>680</v>
      </c>
      <c r="K2" s="1">
        <f t="shared" si="0"/>
        <v>1080.2055756062618</v>
      </c>
    </row>
    <row r="3" spans="1:11" x14ac:dyDescent="0.4">
      <c r="A3" s="3" t="s">
        <v>50</v>
      </c>
      <c r="B3" s="1">
        <f>LN(B2)</f>
        <v>2.8903717578961645</v>
      </c>
      <c r="C3" s="1">
        <f t="shared" ref="C3:K3" si="1">LN(C2)</f>
        <v>3.4011973816621555</v>
      </c>
      <c r="D3" s="1">
        <f t="shared" si="1"/>
        <v>3.8066624897703196</v>
      </c>
      <c r="E3" s="1">
        <f t="shared" si="1"/>
        <v>4.290459441148391</v>
      </c>
      <c r="F3" s="1">
        <f t="shared" si="1"/>
        <v>4.7449321283632502</v>
      </c>
      <c r="G3" s="1">
        <f t="shared" si="1"/>
        <v>5.1929568508902104</v>
      </c>
      <c r="H3" s="1">
        <f t="shared" si="1"/>
        <v>5.6349066497880003</v>
      </c>
      <c r="I3" s="1">
        <f t="shared" si="1"/>
        <v>6.0867747269123065</v>
      </c>
      <c r="J3" s="1">
        <f t="shared" si="1"/>
        <v>6.522092798170152</v>
      </c>
      <c r="K3" s="1">
        <f t="shared" si="1"/>
        <v>6.9849066497880008</v>
      </c>
    </row>
    <row r="4" spans="1:11" x14ac:dyDescent="0.4">
      <c r="A4" s="3" t="s">
        <v>51</v>
      </c>
      <c r="B4" s="1">
        <f>11.82*EXP(0.452*B1)</f>
        <v>18.574562032187814</v>
      </c>
      <c r="C4" s="1">
        <f t="shared" ref="C4:K4" si="2">11.82*EXP(0.452*C1)</f>
        <v>29.189031699457953</v>
      </c>
      <c r="D4" s="1">
        <f t="shared" si="2"/>
        <v>45.86916074120797</v>
      </c>
      <c r="E4" s="1">
        <f t="shared" si="2"/>
        <v>72.081182026392668</v>
      </c>
      <c r="F4" s="1">
        <f t="shared" si="2"/>
        <v>113.27211395115496</v>
      </c>
      <c r="G4" s="1">
        <f t="shared" si="2"/>
        <v>178.001684188052</v>
      </c>
      <c r="H4" s="1">
        <f t="shared" si="2"/>
        <v>279.72109346741757</v>
      </c>
      <c r="I4" s="1">
        <f t="shared" si="2"/>
        <v>439.56825738764405</v>
      </c>
      <c r="J4" s="1">
        <f t="shared" si="2"/>
        <v>690.76039460469497</v>
      </c>
      <c r="K4" s="1">
        <f t="shared" si="2"/>
        <v>1085.4967681018138</v>
      </c>
    </row>
    <row r="7" spans="1:11" x14ac:dyDescent="0.4">
      <c r="C7" s="10">
        <f>EXP(2.4696)</f>
        <v>11.817718818575354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Changement de 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2025-02-06T07:50:00Z</dcterms:created>
  <dcterms:modified xsi:type="dcterms:W3CDTF">2025-03-03T09:39:18Z</dcterms:modified>
</cp:coreProperties>
</file>