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CI\Statistiques\2_Loi binomiale\"/>
    </mc:Choice>
  </mc:AlternateContent>
  <xr:revisionPtr revIDLastSave="0" documentId="13_ncr:1_{32FC110C-95C4-495E-85BB-87E7E1A45D83}" xr6:coauthVersionLast="47" xr6:coauthVersionMax="47" xr10:uidLastSave="{00000000-0000-0000-0000-000000000000}"/>
  <bookViews>
    <workbookView xWindow="-108" yWindow="-108" windowWidth="23256" windowHeight="12576" activeTab="2" xr2:uid="{DAF660FC-5900-4EFA-B962-AFC887E964C3}"/>
  </bookViews>
  <sheets>
    <sheet name="Arbre" sheetId="1" r:id="rId1"/>
    <sheet name="Pascal" sheetId="2" r:id="rId2"/>
    <sheet name="Espérance" sheetId="3" r:id="rId3"/>
    <sheet name="Histo" sheetId="4" r:id="rId4"/>
    <sheet name="Exerci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E3" i="4"/>
  <c r="F3" i="4"/>
  <c r="G3" i="4"/>
  <c r="H3" i="4"/>
  <c r="I3" i="4"/>
  <c r="J3" i="4"/>
  <c r="K3" i="4"/>
  <c r="L3" i="4"/>
  <c r="M3" i="4"/>
  <c r="N3" i="4"/>
  <c r="D3" i="4"/>
  <c r="I8" i="3"/>
  <c r="J8" i="3"/>
  <c r="K8" i="3"/>
  <c r="H8" i="3"/>
  <c r="H7" i="3"/>
  <c r="K7" i="3"/>
  <c r="J7" i="3"/>
  <c r="I7" i="3"/>
  <c r="K9" i="3" l="1"/>
  <c r="K10" i="3" l="1"/>
  <c r="H10" i="3"/>
  <c r="K11" i="3" s="1"/>
  <c r="I10" i="3"/>
  <c r="J10" i="3"/>
</calcChain>
</file>

<file path=xl/sharedStrings.xml><?xml version="1.0" encoding="utf-8"?>
<sst xmlns="http://schemas.openxmlformats.org/spreadsheetml/2006/main" count="75" uniqueCount="33">
  <si>
    <t>Racine</t>
  </si>
  <si>
    <t>Expérience 1</t>
  </si>
  <si>
    <t>Expérience 2</t>
  </si>
  <si>
    <t>Expérience 3</t>
  </si>
  <si>
    <t>Résultat</t>
  </si>
  <si>
    <t>Succès</t>
  </si>
  <si>
    <t>Echec</t>
  </si>
  <si>
    <t>3 succès</t>
  </si>
  <si>
    <t>2 succès</t>
  </si>
  <si>
    <t>1 succès</t>
  </si>
  <si>
    <t>0 succès</t>
  </si>
  <si>
    <t>xi</t>
  </si>
  <si>
    <t>p(X=xi)</t>
  </si>
  <si>
    <t>p</t>
  </si>
  <si>
    <t>1-p</t>
  </si>
  <si>
    <t>n</t>
  </si>
  <si>
    <t>k</t>
  </si>
  <si>
    <t>Cnk</t>
  </si>
  <si>
    <t>P(x=xi)</t>
  </si>
  <si>
    <t>4/6</t>
  </si>
  <si>
    <t>2/6</t>
  </si>
  <si>
    <t>2/36</t>
  </si>
  <si>
    <t>4/36</t>
  </si>
  <si>
    <t>18/36</t>
  </si>
  <si>
    <t>12/36</t>
  </si>
  <si>
    <t>P * gain</t>
  </si>
  <si>
    <t>Variance</t>
  </si>
  <si>
    <t>Esprance</t>
  </si>
  <si>
    <t>élément variance</t>
  </si>
  <si>
    <t>probabilité</t>
  </si>
  <si>
    <t>Jet de dé</t>
  </si>
  <si>
    <t>Probabilité</t>
  </si>
  <si>
    <t>1/6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</si>
</sst>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Histo!$C$3</c:f>
              <c:strCache>
                <c:ptCount val="1"/>
                <c:pt idx="0">
                  <c:v>probabilité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Histo!$D$2:$N$2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Histo!$D$3:$N$3</c:f>
              <c:numCache>
                <c:formatCode>General</c:formatCode>
                <c:ptCount val="11"/>
                <c:pt idx="0">
                  <c:v>1.7341529915832619E-2</c:v>
                </c:pt>
                <c:pt idx="1">
                  <c:v>8.6707649579163118E-2</c:v>
                </c:pt>
                <c:pt idx="2">
                  <c:v>0.19509221155311701</c:v>
                </c:pt>
                <c:pt idx="3">
                  <c:v>0.26012294873748926</c:v>
                </c:pt>
                <c:pt idx="4">
                  <c:v>0.22760758014530308</c:v>
                </c:pt>
                <c:pt idx="5">
                  <c:v>0.13656454808718177</c:v>
                </c:pt>
                <c:pt idx="6">
                  <c:v>5.6901895036325721E-2</c:v>
                </c:pt>
                <c:pt idx="7">
                  <c:v>1.6257684296093075E-2</c:v>
                </c:pt>
                <c:pt idx="8">
                  <c:v>3.0483158055174459E-3</c:v>
                </c:pt>
                <c:pt idx="9">
                  <c:v>3.3870175616860506E-4</c:v>
                </c:pt>
                <c:pt idx="10">
                  <c:v>1.6935087808430265E-5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9-4717-88AC-9DB0A237B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04778080"/>
        <c:axId val="1835368384"/>
      </c:barChart>
      <c:catAx>
        <c:axId val="16047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5368384"/>
        <c:crosses val="autoZero"/>
        <c:auto val="1"/>
        <c:lblAlgn val="ctr"/>
        <c:lblOffset val="100"/>
        <c:noMultiLvlLbl val="0"/>
      </c:catAx>
      <c:valAx>
        <c:axId val="18353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477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Exercice!$C$3:$AA$3</c:f>
              <c:strCache>
                <c:ptCount val="25"/>
                <c:pt idx="0">
                  <c:v>0,16295726</c:v>
                </c:pt>
                <c:pt idx="1">
                  <c:v>0,306640005</c:v>
                </c:pt>
                <c:pt idx="2">
                  <c:v>0,276965166</c:v>
                </c:pt>
                <c:pt idx="3">
                  <c:v>0,159825777</c:v>
                </c:pt>
                <c:pt idx="4">
                  <c:v>0,066164435</c:v>
                </c:pt>
                <c:pt idx="5">
                  <c:v>0,020916499</c:v>
                </c:pt>
                <c:pt idx="6">
                  <c:v>0,005247867</c:v>
                </c:pt>
                <c:pt idx="7">
                  <c:v>0,001072145</c:v>
                </c:pt>
                <c:pt idx="8">
                  <c:v>0,000181573</c:v>
                </c:pt>
                <c:pt idx="9">
                  <c:v>2,5815E-05</c:v>
                </c:pt>
                <c:pt idx="10">
                  <c:v>3,10891E-06</c:v>
                </c:pt>
                <c:pt idx="11">
                  <c:v>3,19096E-07</c:v>
                </c:pt>
                <c:pt idx="12">
                  <c:v>2,8021E-08</c:v>
                </c:pt>
                <c:pt idx="13">
                  <c:v>2,10911E-09</c:v>
                </c:pt>
                <c:pt idx="14">
                  <c:v>1,36071E-10</c:v>
                </c:pt>
                <c:pt idx="15">
                  <c:v>7,51075E-12</c:v>
                </c:pt>
                <c:pt idx="16">
                  <c:v>3,53328E-13</c:v>
                </c:pt>
                <c:pt idx="17">
                  <c:v>1,40795E-14</c:v>
                </c:pt>
                <c:pt idx="18">
                  <c:v>4,70998E-16</c:v>
                </c:pt>
                <c:pt idx="19">
                  <c:v>1,30611E-17</c:v>
                </c:pt>
                <c:pt idx="20">
                  <c:v>2,94928E-19</c:v>
                </c:pt>
                <c:pt idx="21">
                  <c:v>5,28544E-21</c:v>
                </c:pt>
                <c:pt idx="22">
                  <c:v>7,23325E-23</c:v>
                </c:pt>
                <c:pt idx="23">
                  <c:v>7,10137E-25</c:v>
                </c:pt>
                <c:pt idx="24">
                  <c:v>4,45426E-27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Exercice!$C$2:$AA$2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Exercice!$C$2:$AA$2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A-4B5A-9A5A-18ECD4B12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19080528"/>
        <c:axId val="1619081360"/>
      </c:barChart>
      <c:catAx>
        <c:axId val="161908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081360"/>
        <c:crosses val="autoZero"/>
        <c:auto val="1"/>
        <c:lblAlgn val="ctr"/>
        <c:lblOffset val="100"/>
        <c:noMultiLvlLbl val="0"/>
      </c:catAx>
      <c:valAx>
        <c:axId val="16190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08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6</xdr:row>
      <xdr:rowOff>114300</xdr:rowOff>
    </xdr:from>
    <xdr:to>
      <xdr:col>2</xdr:col>
      <xdr:colOff>704850</xdr:colOff>
      <xdr:row>10</xdr:row>
      <xdr:rowOff>123825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8988DEFE-E98E-475B-B4B6-DB5E61001365}"/>
            </a:ext>
          </a:extLst>
        </xdr:cNvPr>
        <xdr:cNvCxnSpPr/>
      </xdr:nvCxnSpPr>
      <xdr:spPr>
        <a:xfrm flipV="1">
          <a:off x="1466850" y="1257300"/>
          <a:ext cx="76200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790575</xdr:colOff>
      <xdr:row>4</xdr:row>
      <xdr:rowOff>104776</xdr:rowOff>
    </xdr:from>
    <xdr:to>
      <xdr:col>4</xdr:col>
      <xdr:colOff>666750</xdr:colOff>
      <xdr:row>6</xdr:row>
      <xdr:rowOff>66675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5A8381FB-6996-4290-B6DC-802EB35B5210}"/>
            </a:ext>
          </a:extLst>
        </xdr:cNvPr>
        <xdr:cNvCxnSpPr/>
      </xdr:nvCxnSpPr>
      <xdr:spPr>
        <a:xfrm flipV="1">
          <a:off x="3076575" y="866776"/>
          <a:ext cx="752475" cy="342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685800</xdr:colOff>
      <xdr:row>3</xdr:row>
      <xdr:rowOff>85726</xdr:rowOff>
    </xdr:from>
    <xdr:to>
      <xdr:col>7</xdr:col>
      <xdr:colOff>0</xdr:colOff>
      <xdr:row>4</xdr:row>
      <xdr:rowOff>95250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84713FA5-DDBF-47A3-95D0-7C552DB56CC4}"/>
            </a:ext>
          </a:extLst>
        </xdr:cNvPr>
        <xdr:cNvCxnSpPr/>
      </xdr:nvCxnSpPr>
      <xdr:spPr>
        <a:xfrm flipV="1">
          <a:off x="4495800" y="657226"/>
          <a:ext cx="838200" cy="2000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714375</xdr:colOff>
      <xdr:row>4</xdr:row>
      <xdr:rowOff>104776</xdr:rowOff>
    </xdr:from>
    <xdr:to>
      <xdr:col>6</xdr:col>
      <xdr:colOff>733425</xdr:colOff>
      <xdr:row>5</xdr:row>
      <xdr:rowOff>114300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EBCF14F3-A3FE-4C5B-AF9E-E8536919A7AE}"/>
            </a:ext>
          </a:extLst>
        </xdr:cNvPr>
        <xdr:cNvCxnSpPr/>
      </xdr:nvCxnSpPr>
      <xdr:spPr>
        <a:xfrm>
          <a:off x="4524375" y="866776"/>
          <a:ext cx="781050" cy="2000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742950</xdr:colOff>
      <xdr:row>7</xdr:row>
      <xdr:rowOff>104775</xdr:rowOff>
    </xdr:from>
    <xdr:to>
      <xdr:col>6</xdr:col>
      <xdr:colOff>714375</xdr:colOff>
      <xdr:row>8</xdr:row>
      <xdr:rowOff>142876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9743F6A2-1CD9-418B-8429-A68C39BFC881}"/>
            </a:ext>
          </a:extLst>
        </xdr:cNvPr>
        <xdr:cNvCxnSpPr/>
      </xdr:nvCxnSpPr>
      <xdr:spPr>
        <a:xfrm flipV="1">
          <a:off x="4552950" y="1438275"/>
          <a:ext cx="733425" cy="2286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742950</xdr:colOff>
      <xdr:row>8</xdr:row>
      <xdr:rowOff>142876</xdr:rowOff>
    </xdr:from>
    <xdr:to>
      <xdr:col>6</xdr:col>
      <xdr:colOff>723900</xdr:colOff>
      <xdr:row>9</xdr:row>
      <xdr:rowOff>123825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A50D7EB4-2500-4769-B99E-DCFF53C66AA0}"/>
            </a:ext>
          </a:extLst>
        </xdr:cNvPr>
        <xdr:cNvCxnSpPr/>
      </xdr:nvCxnSpPr>
      <xdr:spPr>
        <a:xfrm>
          <a:off x="4552950" y="1666876"/>
          <a:ext cx="742950" cy="1714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11</xdr:row>
      <xdr:rowOff>104775</xdr:rowOff>
    </xdr:from>
    <xdr:to>
      <xdr:col>6</xdr:col>
      <xdr:colOff>714375</xdr:colOff>
      <xdr:row>12</xdr:row>
      <xdr:rowOff>104775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9EDE5AE6-DFCE-4442-945C-AF8CA73C58D4}"/>
            </a:ext>
          </a:extLst>
        </xdr:cNvPr>
        <xdr:cNvCxnSpPr/>
      </xdr:nvCxnSpPr>
      <xdr:spPr>
        <a:xfrm flipV="1">
          <a:off x="4562475" y="2200275"/>
          <a:ext cx="7239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12</xdr:row>
      <xdr:rowOff>114301</xdr:rowOff>
    </xdr:from>
    <xdr:to>
      <xdr:col>6</xdr:col>
      <xdr:colOff>704850</xdr:colOff>
      <xdr:row>13</xdr:row>
      <xdr:rowOff>104775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079AB9D7-88CC-4517-9286-6E471FE97124}"/>
            </a:ext>
          </a:extLst>
        </xdr:cNvPr>
        <xdr:cNvCxnSpPr/>
      </xdr:nvCxnSpPr>
      <xdr:spPr>
        <a:xfrm>
          <a:off x="4562475" y="2400301"/>
          <a:ext cx="714375" cy="1809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733425</xdr:colOff>
      <xdr:row>15</xdr:row>
      <xdr:rowOff>85725</xdr:rowOff>
    </xdr:from>
    <xdr:to>
      <xdr:col>6</xdr:col>
      <xdr:colOff>723900</xdr:colOff>
      <xdr:row>16</xdr:row>
      <xdr:rowOff>133351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6CFE8579-0F52-4663-A306-282D1E29F51F}"/>
            </a:ext>
          </a:extLst>
        </xdr:cNvPr>
        <xdr:cNvCxnSpPr/>
      </xdr:nvCxnSpPr>
      <xdr:spPr>
        <a:xfrm flipV="1">
          <a:off x="4543425" y="2943225"/>
          <a:ext cx="752475" cy="238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16</xdr:row>
      <xdr:rowOff>114301</xdr:rowOff>
    </xdr:from>
    <xdr:to>
      <xdr:col>6</xdr:col>
      <xdr:colOff>714375</xdr:colOff>
      <xdr:row>17</xdr:row>
      <xdr:rowOff>123825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5F6F0112-7C04-4176-84E8-988E9426F465}"/>
            </a:ext>
          </a:extLst>
        </xdr:cNvPr>
        <xdr:cNvCxnSpPr/>
      </xdr:nvCxnSpPr>
      <xdr:spPr>
        <a:xfrm>
          <a:off x="4581525" y="3162301"/>
          <a:ext cx="704850" cy="2000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14</xdr:row>
      <xdr:rowOff>133350</xdr:rowOff>
    </xdr:from>
    <xdr:to>
      <xdr:col>4</xdr:col>
      <xdr:colOff>714375</xdr:colOff>
      <xdr:row>16</xdr:row>
      <xdr:rowOff>114300</xdr:rowOff>
    </xdr:to>
    <xdr:cxnSp macro="">
      <xdr:nvCxnSpPr>
        <xdr:cNvPr id="31" name="Connecteur droit avec flèche 30">
          <a:extLst>
            <a:ext uri="{FF2B5EF4-FFF2-40B4-BE49-F238E27FC236}">
              <a16:creationId xmlns:a16="http://schemas.microsoft.com/office/drawing/2014/main" id="{23F02CF7-1B32-41B0-BF6F-C98FDF257064}"/>
            </a:ext>
          </a:extLst>
        </xdr:cNvPr>
        <xdr:cNvCxnSpPr/>
      </xdr:nvCxnSpPr>
      <xdr:spPr>
        <a:xfrm>
          <a:off x="2971800" y="2800350"/>
          <a:ext cx="790575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723900</xdr:colOff>
      <xdr:row>12</xdr:row>
      <xdr:rowOff>104776</xdr:rowOff>
    </xdr:from>
    <xdr:to>
      <xdr:col>4</xdr:col>
      <xdr:colOff>742950</xdr:colOff>
      <xdr:row>14</xdr:row>
      <xdr:rowOff>152400</xdr:rowOff>
    </xdr:to>
    <xdr:cxnSp macro="">
      <xdr:nvCxnSpPr>
        <xdr:cNvPr id="34" name="Connecteur droit avec flèche 33">
          <a:extLst>
            <a:ext uri="{FF2B5EF4-FFF2-40B4-BE49-F238E27FC236}">
              <a16:creationId xmlns:a16="http://schemas.microsoft.com/office/drawing/2014/main" id="{6E8345E2-330F-48CD-ADEC-CA9EF00F1AD7}"/>
            </a:ext>
          </a:extLst>
        </xdr:cNvPr>
        <xdr:cNvCxnSpPr/>
      </xdr:nvCxnSpPr>
      <xdr:spPr>
        <a:xfrm flipV="1">
          <a:off x="3009900" y="2390776"/>
          <a:ext cx="895350" cy="4286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742950</xdr:colOff>
      <xdr:row>6</xdr:row>
      <xdr:rowOff>85725</xdr:rowOff>
    </xdr:from>
    <xdr:to>
      <xdr:col>4</xdr:col>
      <xdr:colOff>733425</xdr:colOff>
      <xdr:row>8</xdr:row>
      <xdr:rowOff>76201</xdr:rowOff>
    </xdr:to>
    <xdr:cxnSp macro="">
      <xdr:nvCxnSpPr>
        <xdr:cNvPr id="37" name="Connecteur droit avec flèche 36">
          <a:extLst>
            <a:ext uri="{FF2B5EF4-FFF2-40B4-BE49-F238E27FC236}">
              <a16:creationId xmlns:a16="http://schemas.microsoft.com/office/drawing/2014/main" id="{BEA7E71B-4072-4B01-AD38-FF19C3673485}"/>
            </a:ext>
          </a:extLst>
        </xdr:cNvPr>
        <xdr:cNvCxnSpPr/>
      </xdr:nvCxnSpPr>
      <xdr:spPr>
        <a:xfrm>
          <a:off x="3028950" y="1228725"/>
          <a:ext cx="752475" cy="3714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10</xdr:row>
      <xdr:rowOff>114301</xdr:rowOff>
    </xdr:from>
    <xdr:to>
      <xdr:col>2</xdr:col>
      <xdr:colOff>752475</xdr:colOff>
      <xdr:row>14</xdr:row>
      <xdr:rowOff>142875</xdr:rowOff>
    </xdr:to>
    <xdr:cxnSp macro="">
      <xdr:nvCxnSpPr>
        <xdr:cNvPr id="39" name="Connecteur droit avec flèche 38">
          <a:extLst>
            <a:ext uri="{FF2B5EF4-FFF2-40B4-BE49-F238E27FC236}">
              <a16:creationId xmlns:a16="http://schemas.microsoft.com/office/drawing/2014/main" id="{CBBD12E6-3C28-4583-B129-D90308D186B3}"/>
            </a:ext>
          </a:extLst>
        </xdr:cNvPr>
        <xdr:cNvCxnSpPr/>
      </xdr:nvCxnSpPr>
      <xdr:spPr>
        <a:xfrm>
          <a:off x="1485900" y="2019301"/>
          <a:ext cx="790575" cy="7905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</xdr:row>
      <xdr:rowOff>19050</xdr:rowOff>
    </xdr:from>
    <xdr:to>
      <xdr:col>15</xdr:col>
      <xdr:colOff>180975</xdr:colOff>
      <xdr:row>5</xdr:row>
      <xdr:rowOff>9525</xdr:rowOff>
    </xdr:to>
    <xdr:sp macro="" textlink="">
      <xdr:nvSpPr>
        <xdr:cNvPr id="47" name="Accolade ouvrante 46">
          <a:extLst>
            <a:ext uri="{FF2B5EF4-FFF2-40B4-BE49-F238E27FC236}">
              <a16:creationId xmlns:a16="http://schemas.microsoft.com/office/drawing/2014/main" id="{16709AEF-1DAC-4928-8C19-CA1CAF9DADA6}"/>
            </a:ext>
          </a:extLst>
        </xdr:cNvPr>
        <xdr:cNvSpPr/>
      </xdr:nvSpPr>
      <xdr:spPr>
        <a:xfrm>
          <a:off x="6972300" y="4019550"/>
          <a:ext cx="180975" cy="6572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590550</xdr:colOff>
      <xdr:row>3</xdr:row>
      <xdr:rowOff>9525</xdr:rowOff>
    </xdr:from>
    <xdr:to>
      <xdr:col>15</xdr:col>
      <xdr:colOff>742950</xdr:colOff>
      <xdr:row>4</xdr:row>
      <xdr:rowOff>323850</xdr:rowOff>
    </xdr:to>
    <xdr:sp macro="" textlink="">
      <xdr:nvSpPr>
        <xdr:cNvPr id="49" name="Accolade fermante 48">
          <a:extLst>
            <a:ext uri="{FF2B5EF4-FFF2-40B4-BE49-F238E27FC236}">
              <a16:creationId xmlns:a16="http://schemas.microsoft.com/office/drawing/2014/main" id="{A3E3C763-03E5-496D-9910-6CDFEC741378}"/>
            </a:ext>
          </a:extLst>
        </xdr:cNvPr>
        <xdr:cNvSpPr/>
      </xdr:nvSpPr>
      <xdr:spPr>
        <a:xfrm>
          <a:off x="7562850" y="4010025"/>
          <a:ext cx="152400" cy="647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704850</xdr:colOff>
      <xdr:row>31</xdr:row>
      <xdr:rowOff>152400</xdr:rowOff>
    </xdr:from>
    <xdr:to>
      <xdr:col>4</xdr:col>
      <xdr:colOff>123825</xdr:colOff>
      <xdr:row>36</xdr:row>
      <xdr:rowOff>123826</xdr:rowOff>
    </xdr:to>
    <xdr:cxnSp macro="">
      <xdr:nvCxnSpPr>
        <xdr:cNvPr id="50" name="Connecteur droit avec flèche 49">
          <a:extLst>
            <a:ext uri="{FF2B5EF4-FFF2-40B4-BE49-F238E27FC236}">
              <a16:creationId xmlns:a16="http://schemas.microsoft.com/office/drawing/2014/main" id="{D860A3AA-59A6-4E94-B50F-EAA4FAFCF323}"/>
            </a:ext>
          </a:extLst>
        </xdr:cNvPr>
        <xdr:cNvCxnSpPr/>
      </xdr:nvCxnSpPr>
      <xdr:spPr>
        <a:xfrm flipV="1">
          <a:off x="2228850" y="6629400"/>
          <a:ext cx="1057275" cy="9239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704850</xdr:colOff>
      <xdr:row>36</xdr:row>
      <xdr:rowOff>133351</xdr:rowOff>
    </xdr:from>
    <xdr:to>
      <xdr:col>4</xdr:col>
      <xdr:colOff>219075</xdr:colOff>
      <xdr:row>37</xdr:row>
      <xdr:rowOff>85725</xdr:rowOff>
    </xdr:to>
    <xdr:cxnSp macro="">
      <xdr:nvCxnSpPr>
        <xdr:cNvPr id="58" name="Connecteur droit avec flèche 57">
          <a:extLst>
            <a:ext uri="{FF2B5EF4-FFF2-40B4-BE49-F238E27FC236}">
              <a16:creationId xmlns:a16="http://schemas.microsoft.com/office/drawing/2014/main" id="{9C8607D4-CE81-45FF-9C38-6339DC4A7D9D}"/>
            </a:ext>
          </a:extLst>
        </xdr:cNvPr>
        <xdr:cNvCxnSpPr/>
      </xdr:nvCxnSpPr>
      <xdr:spPr>
        <a:xfrm>
          <a:off x="2228850" y="7562851"/>
          <a:ext cx="1152525" cy="142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704850</xdr:colOff>
      <xdr:row>36</xdr:row>
      <xdr:rowOff>123826</xdr:rowOff>
    </xdr:from>
    <xdr:to>
      <xdr:col>4</xdr:col>
      <xdr:colOff>161925</xdr:colOff>
      <xdr:row>39</xdr:row>
      <xdr:rowOff>114300</xdr:rowOff>
    </xdr:to>
    <xdr:cxnSp macro="">
      <xdr:nvCxnSpPr>
        <xdr:cNvPr id="59" name="Connecteur droit avec flèche 58">
          <a:extLst>
            <a:ext uri="{FF2B5EF4-FFF2-40B4-BE49-F238E27FC236}">
              <a16:creationId xmlns:a16="http://schemas.microsoft.com/office/drawing/2014/main" id="{8659B7BC-D55F-48FA-95B7-CE340E6FDC36}"/>
            </a:ext>
          </a:extLst>
        </xdr:cNvPr>
        <xdr:cNvCxnSpPr/>
      </xdr:nvCxnSpPr>
      <xdr:spPr>
        <a:xfrm>
          <a:off x="2228850" y="7553326"/>
          <a:ext cx="1095375" cy="5619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714375</xdr:colOff>
      <xdr:row>35</xdr:row>
      <xdr:rowOff>104775</xdr:rowOff>
    </xdr:from>
    <xdr:to>
      <xdr:col>4</xdr:col>
      <xdr:colOff>190500</xdr:colOff>
      <xdr:row>36</xdr:row>
      <xdr:rowOff>114300</xdr:rowOff>
    </xdr:to>
    <xdr:cxnSp macro="">
      <xdr:nvCxnSpPr>
        <xdr:cNvPr id="60" name="Connecteur droit avec flèche 59">
          <a:extLst>
            <a:ext uri="{FF2B5EF4-FFF2-40B4-BE49-F238E27FC236}">
              <a16:creationId xmlns:a16="http://schemas.microsoft.com/office/drawing/2014/main" id="{4F234E16-A8E3-4A56-B9A0-6864F20B3297}"/>
            </a:ext>
          </a:extLst>
        </xdr:cNvPr>
        <xdr:cNvCxnSpPr/>
      </xdr:nvCxnSpPr>
      <xdr:spPr>
        <a:xfrm flipV="1">
          <a:off x="2238375" y="7343775"/>
          <a:ext cx="11144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704850</xdr:colOff>
      <xdr:row>33</xdr:row>
      <xdr:rowOff>142875</xdr:rowOff>
    </xdr:from>
    <xdr:to>
      <xdr:col>4</xdr:col>
      <xdr:colOff>133350</xdr:colOff>
      <xdr:row>36</xdr:row>
      <xdr:rowOff>123825</xdr:rowOff>
    </xdr:to>
    <xdr:cxnSp macro="">
      <xdr:nvCxnSpPr>
        <xdr:cNvPr id="61" name="Connecteur droit avec flèche 60">
          <a:extLst>
            <a:ext uri="{FF2B5EF4-FFF2-40B4-BE49-F238E27FC236}">
              <a16:creationId xmlns:a16="http://schemas.microsoft.com/office/drawing/2014/main" id="{74603E49-4CB3-46D0-9B7A-82DF591F4D03}"/>
            </a:ext>
          </a:extLst>
        </xdr:cNvPr>
        <xdr:cNvCxnSpPr/>
      </xdr:nvCxnSpPr>
      <xdr:spPr>
        <a:xfrm flipV="1">
          <a:off x="2228850" y="7000875"/>
          <a:ext cx="1066800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723900</xdr:colOff>
      <xdr:row>36</xdr:row>
      <xdr:rowOff>114301</xdr:rowOff>
    </xdr:from>
    <xdr:to>
      <xdr:col>4</xdr:col>
      <xdr:colOff>219075</xdr:colOff>
      <xdr:row>41</xdr:row>
      <xdr:rowOff>104775</xdr:rowOff>
    </xdr:to>
    <xdr:cxnSp macro="">
      <xdr:nvCxnSpPr>
        <xdr:cNvPr id="63" name="Connecteur droit avec flèche 62">
          <a:extLst>
            <a:ext uri="{FF2B5EF4-FFF2-40B4-BE49-F238E27FC236}">
              <a16:creationId xmlns:a16="http://schemas.microsoft.com/office/drawing/2014/main" id="{8AA2309C-AB78-4BF2-819B-4C05E27FE160}"/>
            </a:ext>
          </a:extLst>
        </xdr:cNvPr>
        <xdr:cNvCxnSpPr/>
      </xdr:nvCxnSpPr>
      <xdr:spPr>
        <a:xfrm>
          <a:off x="2247900" y="7543801"/>
          <a:ext cx="1133475" cy="9429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</xdr:colOff>
      <xdr:row>3</xdr:row>
      <xdr:rowOff>300037</xdr:rowOff>
    </xdr:from>
    <xdr:to>
      <xdr:col>13</xdr:col>
      <xdr:colOff>742950</xdr:colOff>
      <xdr:row>12</xdr:row>
      <xdr:rowOff>42862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4E85CAA3-11AB-4FCD-9475-7AF6AF1F8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6</xdr:row>
      <xdr:rowOff>261937</xdr:rowOff>
    </xdr:from>
    <xdr:to>
      <xdr:col>14</xdr:col>
      <xdr:colOff>57150</xdr:colOff>
      <xdr:row>15</xdr:row>
      <xdr:rowOff>4762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C7454AF-84A9-4321-A1BA-8DE16778B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C96D-BF46-4D37-AEAA-815FD681B871}">
  <dimension ref="A1:P44"/>
  <sheetViews>
    <sheetView topLeftCell="A34" workbookViewId="0">
      <selection activeCell="C28" sqref="C28:H42"/>
    </sheetView>
  </sheetViews>
  <sheetFormatPr baseColWidth="10" defaultColWidth="11.44140625" defaultRowHeight="14.4" x14ac:dyDescent="0.3"/>
  <cols>
    <col min="1" max="3" width="11.44140625" style="1"/>
    <col min="4" max="4" width="13.109375" style="1" bestFit="1" customWidth="1"/>
    <col min="5" max="13" width="11.44140625" style="1"/>
    <col min="14" max="14" width="21.109375" style="1" customWidth="1"/>
    <col min="15" max="15" width="1.6640625" style="1" customWidth="1"/>
    <col min="16" max="16" width="11.44140625" style="1"/>
    <col min="17" max="17" width="1.44140625" style="1" customWidth="1"/>
    <col min="18" max="16384" width="11.44140625" style="1"/>
  </cols>
  <sheetData>
    <row r="1" spans="1:16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6" x14ac:dyDescent="0.3">
      <c r="A2" s="2"/>
      <c r="B2" s="2"/>
      <c r="C2" s="2"/>
      <c r="D2" s="2" t="s">
        <v>1</v>
      </c>
      <c r="E2" s="2"/>
      <c r="F2" s="2" t="s">
        <v>2</v>
      </c>
      <c r="G2" s="2"/>
      <c r="H2" s="2" t="s">
        <v>3</v>
      </c>
      <c r="I2" s="2"/>
      <c r="J2" s="2" t="s">
        <v>4</v>
      </c>
    </row>
    <row r="3" spans="1:16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6" ht="25.8" x14ac:dyDescent="0.5">
      <c r="A4" s="2"/>
      <c r="B4" s="2"/>
      <c r="C4" s="2"/>
      <c r="D4" s="2"/>
      <c r="E4" s="2"/>
      <c r="F4" s="2"/>
      <c r="G4" s="2" t="s">
        <v>13</v>
      </c>
      <c r="H4" s="2" t="s">
        <v>5</v>
      </c>
      <c r="I4" s="2"/>
      <c r="J4" s="2" t="s">
        <v>7</v>
      </c>
      <c r="P4" s="3" t="s">
        <v>15</v>
      </c>
    </row>
    <row r="5" spans="1:16" ht="25.8" x14ac:dyDescent="0.5">
      <c r="A5" s="2"/>
      <c r="B5" s="2"/>
      <c r="C5" s="2"/>
      <c r="D5" s="2"/>
      <c r="E5" s="2" t="s">
        <v>13</v>
      </c>
      <c r="F5" s="2" t="s">
        <v>5</v>
      </c>
      <c r="G5" s="2"/>
      <c r="H5" s="2"/>
      <c r="I5" s="2"/>
      <c r="J5" s="2"/>
      <c r="P5" s="3" t="s">
        <v>16</v>
      </c>
    </row>
    <row r="6" spans="1:16" x14ac:dyDescent="0.3">
      <c r="A6" s="2"/>
      <c r="B6" s="2"/>
      <c r="C6" s="2"/>
      <c r="D6" s="2"/>
      <c r="E6" s="2"/>
      <c r="F6" s="2"/>
      <c r="G6" s="2" t="s">
        <v>14</v>
      </c>
      <c r="H6" s="2" t="s">
        <v>6</v>
      </c>
      <c r="I6" s="2"/>
      <c r="J6" s="2" t="s">
        <v>8</v>
      </c>
    </row>
    <row r="7" spans="1:16" x14ac:dyDescent="0.3">
      <c r="A7" s="2"/>
      <c r="B7" s="2"/>
      <c r="C7" s="2"/>
      <c r="D7" s="2" t="s">
        <v>5</v>
      </c>
      <c r="E7" s="2"/>
      <c r="F7" s="2"/>
      <c r="G7" s="2"/>
      <c r="H7" s="2"/>
      <c r="I7" s="2"/>
      <c r="J7" s="2"/>
    </row>
    <row r="8" spans="1:16" x14ac:dyDescent="0.3">
      <c r="A8" s="2"/>
      <c r="B8" s="2"/>
      <c r="C8" s="2" t="s">
        <v>13</v>
      </c>
      <c r="D8" s="2"/>
      <c r="E8" s="2"/>
      <c r="F8" s="2"/>
      <c r="G8" s="2" t="s">
        <v>13</v>
      </c>
      <c r="H8" s="2" t="s">
        <v>5</v>
      </c>
      <c r="I8" s="2"/>
      <c r="J8" s="2" t="s">
        <v>8</v>
      </c>
    </row>
    <row r="9" spans="1:16" x14ac:dyDescent="0.3">
      <c r="A9" s="2"/>
      <c r="B9" s="2"/>
      <c r="C9" s="2"/>
      <c r="D9" s="2"/>
      <c r="E9" s="2" t="s">
        <v>14</v>
      </c>
      <c r="F9" s="2" t="s">
        <v>6</v>
      </c>
      <c r="G9" s="2"/>
      <c r="H9" s="2"/>
      <c r="I9" s="2"/>
      <c r="J9" s="2"/>
    </row>
    <row r="10" spans="1:16" x14ac:dyDescent="0.3">
      <c r="A10" s="2"/>
      <c r="B10" s="2"/>
      <c r="C10" s="2"/>
      <c r="D10" s="2"/>
      <c r="E10" s="2"/>
      <c r="F10" s="2"/>
      <c r="G10" s="2" t="s">
        <v>14</v>
      </c>
      <c r="H10" s="2" t="s">
        <v>6</v>
      </c>
      <c r="I10" s="2"/>
      <c r="J10" s="2" t="s">
        <v>9</v>
      </c>
    </row>
    <row r="11" spans="1:16" x14ac:dyDescent="0.3">
      <c r="A11" s="2"/>
      <c r="B11" s="2" t="s">
        <v>0</v>
      </c>
      <c r="C11" s="2"/>
      <c r="D11" s="2"/>
      <c r="E11" s="2"/>
      <c r="F11" s="2"/>
      <c r="G11" s="2"/>
      <c r="H11" s="2"/>
      <c r="I11" s="2"/>
      <c r="J11" s="2"/>
    </row>
    <row r="12" spans="1:16" x14ac:dyDescent="0.3">
      <c r="A12" s="2"/>
      <c r="B12" s="2"/>
      <c r="C12" s="2"/>
      <c r="D12" s="2"/>
      <c r="E12" s="2"/>
      <c r="F12" s="2"/>
      <c r="G12" s="2" t="s">
        <v>13</v>
      </c>
      <c r="H12" s="2" t="s">
        <v>5</v>
      </c>
      <c r="I12" s="2"/>
      <c r="J12" s="2" t="s">
        <v>8</v>
      </c>
    </row>
    <row r="13" spans="1:16" x14ac:dyDescent="0.3">
      <c r="A13" s="2"/>
      <c r="B13" s="2"/>
      <c r="C13" s="2"/>
      <c r="D13" s="2"/>
      <c r="E13" s="2" t="s">
        <v>13</v>
      </c>
      <c r="F13" s="2" t="s">
        <v>5</v>
      </c>
      <c r="G13" s="2"/>
      <c r="H13" s="2"/>
      <c r="I13" s="2"/>
      <c r="J13" s="2"/>
    </row>
    <row r="14" spans="1:16" x14ac:dyDescent="0.3">
      <c r="A14" s="2"/>
      <c r="B14" s="2"/>
      <c r="C14" s="2"/>
      <c r="D14" s="2"/>
      <c r="E14" s="2"/>
      <c r="F14" s="2"/>
      <c r="G14" s="2" t="s">
        <v>14</v>
      </c>
      <c r="H14" s="2" t="s">
        <v>6</v>
      </c>
      <c r="I14" s="2"/>
      <c r="J14" s="2" t="s">
        <v>9</v>
      </c>
    </row>
    <row r="15" spans="1:16" x14ac:dyDescent="0.3">
      <c r="A15" s="2"/>
      <c r="B15" s="2"/>
      <c r="C15" s="2" t="s">
        <v>14</v>
      </c>
      <c r="D15" s="2" t="s">
        <v>6</v>
      </c>
      <c r="E15" s="2"/>
      <c r="F15" s="2"/>
      <c r="G15" s="2"/>
      <c r="H15" s="2"/>
      <c r="I15" s="2"/>
      <c r="J15" s="2"/>
    </row>
    <row r="16" spans="1:16" x14ac:dyDescent="0.3">
      <c r="A16" s="2"/>
      <c r="B16" s="2"/>
      <c r="C16" s="2"/>
      <c r="D16" s="2"/>
      <c r="E16" s="2"/>
      <c r="F16" s="2"/>
      <c r="G16" s="2" t="s">
        <v>13</v>
      </c>
      <c r="H16" s="2" t="s">
        <v>5</v>
      </c>
      <c r="I16" s="2"/>
      <c r="J16" s="2" t="s">
        <v>9</v>
      </c>
    </row>
    <row r="17" spans="1:14" x14ac:dyDescent="0.3">
      <c r="A17" s="2"/>
      <c r="B17" s="2"/>
      <c r="C17" s="2"/>
      <c r="D17" s="2"/>
      <c r="E17" s="2" t="s">
        <v>14</v>
      </c>
      <c r="F17" s="2" t="s">
        <v>6</v>
      </c>
      <c r="G17" s="2"/>
      <c r="H17" s="2"/>
      <c r="I17" s="2"/>
      <c r="J17" s="2"/>
    </row>
    <row r="18" spans="1:14" x14ac:dyDescent="0.3">
      <c r="A18" s="2"/>
      <c r="B18" s="2"/>
      <c r="C18" s="2"/>
      <c r="D18" s="2"/>
      <c r="E18" s="2"/>
      <c r="F18" s="2"/>
      <c r="G18" s="2" t="s">
        <v>14</v>
      </c>
      <c r="H18" s="2" t="s">
        <v>6</v>
      </c>
      <c r="I18" s="2"/>
      <c r="J18" s="2" t="s">
        <v>10</v>
      </c>
    </row>
    <row r="22" spans="1:14" ht="25.8" x14ac:dyDescent="0.5">
      <c r="C22" s="4" t="s">
        <v>11</v>
      </c>
      <c r="D22" s="4">
        <v>1</v>
      </c>
      <c r="E22" s="4">
        <v>0</v>
      </c>
    </row>
    <row r="23" spans="1:14" ht="25.8" x14ac:dyDescent="0.5">
      <c r="C23" s="4" t="s">
        <v>12</v>
      </c>
      <c r="D23" s="4">
        <v>0.5</v>
      </c>
      <c r="E23" s="4">
        <v>0.5</v>
      </c>
    </row>
    <row r="25" spans="1:14" x14ac:dyDescent="0.3">
      <c r="N25" s="1" t="s">
        <v>17</v>
      </c>
    </row>
    <row r="27" spans="1:14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 x14ac:dyDescent="0.3">
      <c r="B28" s="2"/>
      <c r="C28" s="2"/>
      <c r="D28" s="2"/>
      <c r="E28" s="2" t="s">
        <v>1</v>
      </c>
      <c r="F28" s="2"/>
      <c r="G28" s="2" t="s">
        <v>31</v>
      </c>
      <c r="H28" s="2"/>
      <c r="I28" s="2"/>
      <c r="J28" s="2"/>
      <c r="K28" s="2"/>
    </row>
    <row r="29" spans="1:14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 x14ac:dyDescent="0.3">
      <c r="B30" s="2"/>
      <c r="C30" s="2"/>
      <c r="D30" s="2"/>
      <c r="F30" s="2"/>
      <c r="G30" s="2"/>
      <c r="H30" s="2"/>
      <c r="I30" s="2"/>
      <c r="J30" s="2"/>
      <c r="K30" s="2"/>
    </row>
    <row r="31" spans="1:14" x14ac:dyDescent="0.3">
      <c r="B31" s="2"/>
      <c r="C31" s="2"/>
      <c r="D31" s="2"/>
      <c r="F31" s="2"/>
      <c r="G31" s="2"/>
      <c r="H31" s="2"/>
      <c r="I31" s="2"/>
      <c r="J31" s="2"/>
      <c r="K31" s="2"/>
    </row>
    <row r="32" spans="1:14" x14ac:dyDescent="0.3">
      <c r="B32" s="2"/>
      <c r="C32" s="2"/>
      <c r="D32" s="2"/>
      <c r="E32" s="2">
        <v>1</v>
      </c>
      <c r="F32" s="2"/>
      <c r="G32" s="16" t="s">
        <v>32</v>
      </c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16"/>
      <c r="H33" s="2"/>
      <c r="I33" s="2"/>
      <c r="J33" s="2"/>
      <c r="K33" s="2"/>
    </row>
    <row r="34" spans="2:11" x14ac:dyDescent="0.3">
      <c r="B34" s="2"/>
      <c r="C34" s="2"/>
      <c r="D34" s="2"/>
      <c r="E34" s="2">
        <v>2</v>
      </c>
      <c r="F34" s="2"/>
      <c r="G34" s="16" t="s">
        <v>32</v>
      </c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16"/>
      <c r="H35" s="2"/>
      <c r="I35" s="2"/>
      <c r="J35" s="2"/>
      <c r="K35" s="2"/>
    </row>
    <row r="36" spans="2:11" x14ac:dyDescent="0.3">
      <c r="B36" s="2"/>
      <c r="C36" s="2"/>
      <c r="D36" s="2"/>
      <c r="E36" s="2">
        <v>3</v>
      </c>
      <c r="F36" s="2"/>
      <c r="G36" s="16" t="s">
        <v>32</v>
      </c>
      <c r="H36" s="2"/>
      <c r="I36" s="2"/>
      <c r="J36" s="2"/>
      <c r="K36" s="2"/>
    </row>
    <row r="37" spans="2:11" x14ac:dyDescent="0.3">
      <c r="B37" s="2"/>
      <c r="C37" s="2" t="s">
        <v>30</v>
      </c>
      <c r="D37" s="2"/>
      <c r="E37" s="2"/>
      <c r="F37" s="2"/>
      <c r="G37" s="16"/>
      <c r="H37" s="2"/>
      <c r="I37" s="2"/>
      <c r="J37" s="2"/>
      <c r="K37" s="2"/>
    </row>
    <row r="38" spans="2:11" x14ac:dyDescent="0.3">
      <c r="B38" s="2"/>
      <c r="C38" s="2"/>
      <c r="D38" s="2"/>
      <c r="E38" s="2">
        <v>4</v>
      </c>
      <c r="F38" s="2"/>
      <c r="G38" s="16" t="s">
        <v>32</v>
      </c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16"/>
      <c r="H39" s="2"/>
      <c r="I39" s="2"/>
      <c r="J39" s="2"/>
      <c r="K39" s="2"/>
    </row>
    <row r="40" spans="2:11" x14ac:dyDescent="0.3">
      <c r="B40" s="2"/>
      <c r="C40" s="2"/>
      <c r="D40" s="2"/>
      <c r="E40" s="2">
        <v>5</v>
      </c>
      <c r="F40" s="2"/>
      <c r="G40" s="16" t="s">
        <v>32</v>
      </c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16"/>
      <c r="H41" s="2"/>
      <c r="I41" s="2"/>
      <c r="J41" s="2"/>
      <c r="K41" s="2"/>
    </row>
    <row r="42" spans="2:11" x14ac:dyDescent="0.3">
      <c r="B42" s="2"/>
      <c r="C42" s="2"/>
      <c r="D42" s="2"/>
      <c r="E42" s="2">
        <v>6</v>
      </c>
      <c r="F42" s="2"/>
      <c r="G42" s="16" t="s">
        <v>32</v>
      </c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DD1E-0F15-42B0-B77A-AB18A25BCEB2}">
  <dimension ref="C3:O14"/>
  <sheetViews>
    <sheetView workbookViewId="0">
      <selection activeCell="B2" sqref="B2:P15"/>
    </sheetView>
  </sheetViews>
  <sheetFormatPr baseColWidth="10" defaultColWidth="11.44140625" defaultRowHeight="25.8" x14ac:dyDescent="0.5"/>
  <cols>
    <col min="1" max="16384" width="11.44140625" style="3"/>
  </cols>
  <sheetData>
    <row r="3" spans="3:15" x14ac:dyDescent="0.5">
      <c r="C3" s="3" t="s">
        <v>15</v>
      </c>
    </row>
    <row r="4" spans="3:15" s="6" customFormat="1" x14ac:dyDescent="0.5">
      <c r="C4" s="6">
        <v>0</v>
      </c>
      <c r="J4" s="6">
        <v>1</v>
      </c>
    </row>
    <row r="6" spans="3:15" s="6" customFormat="1" x14ac:dyDescent="0.5">
      <c r="C6" s="6">
        <v>1</v>
      </c>
      <c r="I6" s="6">
        <v>1</v>
      </c>
      <c r="K6" s="6">
        <v>1</v>
      </c>
    </row>
    <row r="8" spans="3:15" s="6" customFormat="1" x14ac:dyDescent="0.5">
      <c r="C8" s="6">
        <v>2</v>
      </c>
      <c r="H8" s="6">
        <v>1</v>
      </c>
      <c r="J8" s="6">
        <v>2</v>
      </c>
      <c r="L8" s="6">
        <v>1</v>
      </c>
    </row>
    <row r="10" spans="3:15" s="6" customFormat="1" x14ac:dyDescent="0.5">
      <c r="C10" s="6">
        <v>3</v>
      </c>
      <c r="G10" s="6">
        <v>1</v>
      </c>
      <c r="I10" s="6">
        <v>3</v>
      </c>
      <c r="K10" s="5">
        <v>3</v>
      </c>
      <c r="M10" s="6">
        <v>1</v>
      </c>
    </row>
    <row r="12" spans="3:15" s="6" customFormat="1" x14ac:dyDescent="0.5">
      <c r="C12" s="6">
        <v>4</v>
      </c>
      <c r="F12" s="6">
        <v>1</v>
      </c>
      <c r="H12" s="6">
        <v>4</v>
      </c>
      <c r="J12" s="6">
        <v>6</v>
      </c>
      <c r="L12" s="6">
        <v>4</v>
      </c>
      <c r="N12" s="6">
        <v>1</v>
      </c>
    </row>
    <row r="14" spans="3:15" s="6" customFormat="1" x14ac:dyDescent="0.5">
      <c r="C14" s="6">
        <v>5</v>
      </c>
      <c r="E14" s="6">
        <v>1</v>
      </c>
      <c r="G14" s="6">
        <v>5</v>
      </c>
      <c r="I14" s="6">
        <v>10</v>
      </c>
      <c r="K14" s="6">
        <v>10</v>
      </c>
      <c r="M14" s="6">
        <v>5</v>
      </c>
      <c r="O14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0115-224F-4247-BE28-ADB217811235}">
  <dimension ref="B3:N38"/>
  <sheetViews>
    <sheetView tabSelected="1" workbookViewId="0">
      <selection activeCell="G5" sqref="G5:K9"/>
    </sheetView>
  </sheetViews>
  <sheetFormatPr baseColWidth="10" defaultColWidth="11.44140625" defaultRowHeight="25.8" x14ac:dyDescent="0.5"/>
  <cols>
    <col min="1" max="2" width="11.44140625" style="3"/>
    <col min="3" max="4" width="12.44140625" style="3" bestFit="1" customWidth="1"/>
    <col min="5" max="6" width="11.44140625" style="3"/>
    <col min="7" max="7" width="28.6640625" style="3" bestFit="1" customWidth="1"/>
    <col min="8" max="8" width="12.44140625" style="3" bestFit="1" customWidth="1"/>
    <col min="9" max="10" width="11.44140625" style="3"/>
    <col min="11" max="11" width="12.6640625" style="3" bestFit="1" customWidth="1"/>
    <col min="12" max="16384" width="11.44140625" style="3"/>
  </cols>
  <sheetData>
    <row r="3" spans="2:14" x14ac:dyDescent="0.5">
      <c r="M3" s="11">
        <v>1</v>
      </c>
      <c r="N3" s="11">
        <v>1</v>
      </c>
    </row>
    <row r="4" spans="2:14" x14ac:dyDescent="0.5">
      <c r="M4" s="3">
        <v>1</v>
      </c>
      <c r="N4" s="3">
        <v>2</v>
      </c>
    </row>
    <row r="5" spans="2:14" x14ac:dyDescent="0.5">
      <c r="B5" s="4" t="s">
        <v>11</v>
      </c>
      <c r="C5" s="4">
        <v>-3</v>
      </c>
      <c r="D5" s="4">
        <v>5</v>
      </c>
      <c r="G5" s="13" t="s">
        <v>11</v>
      </c>
      <c r="H5" s="4">
        <v>-3</v>
      </c>
      <c r="I5" s="4">
        <v>1</v>
      </c>
      <c r="J5" s="4">
        <v>3</v>
      </c>
      <c r="K5" s="9">
        <v>5</v>
      </c>
      <c r="M5" s="3">
        <v>1</v>
      </c>
      <c r="N5" s="3">
        <v>3</v>
      </c>
    </row>
    <row r="6" spans="2:14" x14ac:dyDescent="0.5">
      <c r="B6" s="4" t="s">
        <v>18</v>
      </c>
      <c r="C6" s="7" t="s">
        <v>19</v>
      </c>
      <c r="D6" s="7" t="s">
        <v>20</v>
      </c>
      <c r="G6" s="13" t="s">
        <v>18</v>
      </c>
      <c r="H6" s="7" t="s">
        <v>24</v>
      </c>
      <c r="I6" s="7" t="s">
        <v>22</v>
      </c>
      <c r="J6" s="7" t="s">
        <v>23</v>
      </c>
      <c r="K6" s="10" t="s">
        <v>21</v>
      </c>
      <c r="M6" s="3">
        <v>1</v>
      </c>
      <c r="N6" s="3">
        <v>4</v>
      </c>
    </row>
    <row r="7" spans="2:14" x14ac:dyDescent="0.5">
      <c r="G7" s="4" t="s">
        <v>18</v>
      </c>
      <c r="H7" s="4">
        <f>12/36</f>
        <v>0.33333333333333331</v>
      </c>
      <c r="I7" s="4">
        <f>4/36</f>
        <v>0.1111111111111111</v>
      </c>
      <c r="J7" s="4">
        <f>18/36</f>
        <v>0.5</v>
      </c>
      <c r="K7" s="4">
        <f>2/36</f>
        <v>5.5555555555555552E-2</v>
      </c>
      <c r="M7" s="12">
        <v>1</v>
      </c>
      <c r="N7" s="12">
        <v>5</v>
      </c>
    </row>
    <row r="8" spans="2:14" x14ac:dyDescent="0.5">
      <c r="G8" s="4" t="s">
        <v>25</v>
      </c>
      <c r="H8" s="14">
        <f>H5*H7</f>
        <v>-1</v>
      </c>
      <c r="I8" s="14">
        <f t="shared" ref="I8:K8" si="0">I5*I7</f>
        <v>0.1111111111111111</v>
      </c>
      <c r="J8" s="14">
        <f t="shared" si="0"/>
        <v>1.5</v>
      </c>
      <c r="K8" s="14">
        <f t="shared" si="0"/>
        <v>0.27777777777777779</v>
      </c>
      <c r="M8" s="12">
        <v>1</v>
      </c>
      <c r="N8" s="12">
        <v>6</v>
      </c>
    </row>
    <row r="9" spans="2:14" x14ac:dyDescent="0.5">
      <c r="G9" s="4" t="s">
        <v>27</v>
      </c>
      <c r="H9" s="4"/>
      <c r="I9" s="4"/>
      <c r="J9" s="4"/>
      <c r="K9" s="4">
        <f>SUM(H8:K8)</f>
        <v>0.88888888888888895</v>
      </c>
      <c r="M9" s="3">
        <v>2</v>
      </c>
      <c r="N9" s="3">
        <v>1</v>
      </c>
    </row>
    <row r="10" spans="2:14" x14ac:dyDescent="0.5">
      <c r="G10" s="4" t="s">
        <v>28</v>
      </c>
      <c r="H10" s="4">
        <f>H7*(H5-$K$9)^2</f>
        <v>5.0411522633744852</v>
      </c>
      <c r="I10" s="4">
        <f t="shared" ref="I10:K10" si="1">I7*(I5-$K$9)^2</f>
        <v>1.3717421124828516E-3</v>
      </c>
      <c r="J10" s="4">
        <f t="shared" si="1"/>
        <v>2.2283950617283952</v>
      </c>
      <c r="K10" s="4">
        <f t="shared" si="1"/>
        <v>0.93895747599451274</v>
      </c>
      <c r="M10" s="11">
        <v>2</v>
      </c>
      <c r="N10" s="11">
        <v>2</v>
      </c>
    </row>
    <row r="11" spans="2:14" x14ac:dyDescent="0.5">
      <c r="G11" s="4" t="s">
        <v>26</v>
      </c>
      <c r="H11" s="4"/>
      <c r="I11" s="4"/>
      <c r="J11" s="4"/>
      <c r="K11" s="4">
        <f>SUM(H10:K10)</f>
        <v>8.2098765432098766</v>
      </c>
      <c r="M11" s="3">
        <v>2</v>
      </c>
      <c r="N11" s="3">
        <v>3</v>
      </c>
    </row>
    <row r="12" spans="2:14" x14ac:dyDescent="0.5">
      <c r="M12" s="3">
        <v>2</v>
      </c>
      <c r="N12" s="3">
        <v>4</v>
      </c>
    </row>
    <row r="13" spans="2:14" x14ac:dyDescent="0.5">
      <c r="M13" s="12">
        <v>2</v>
      </c>
      <c r="N13" s="12">
        <v>5</v>
      </c>
    </row>
    <row r="14" spans="2:14" x14ac:dyDescent="0.5">
      <c r="M14" s="12">
        <v>2</v>
      </c>
      <c r="N14" s="12">
        <v>6</v>
      </c>
    </row>
    <row r="15" spans="2:14" x14ac:dyDescent="0.5">
      <c r="M15" s="3">
        <v>3</v>
      </c>
      <c r="N15" s="3">
        <v>1</v>
      </c>
    </row>
    <row r="16" spans="2:14" x14ac:dyDescent="0.5">
      <c r="M16" s="3">
        <v>3</v>
      </c>
      <c r="N16" s="3">
        <v>2</v>
      </c>
    </row>
    <row r="17" spans="13:14" x14ac:dyDescent="0.5">
      <c r="M17" s="11">
        <v>3</v>
      </c>
      <c r="N17" s="11">
        <v>3</v>
      </c>
    </row>
    <row r="18" spans="13:14" x14ac:dyDescent="0.5">
      <c r="M18" s="3">
        <v>3</v>
      </c>
      <c r="N18" s="3">
        <v>4</v>
      </c>
    </row>
    <row r="19" spans="13:14" x14ac:dyDescent="0.5">
      <c r="M19" s="12">
        <v>3</v>
      </c>
      <c r="N19" s="12">
        <v>5</v>
      </c>
    </row>
    <row r="20" spans="13:14" x14ac:dyDescent="0.5">
      <c r="M20" s="12">
        <v>3</v>
      </c>
      <c r="N20" s="12">
        <v>6</v>
      </c>
    </row>
    <row r="21" spans="13:14" x14ac:dyDescent="0.5">
      <c r="M21" s="3">
        <v>4</v>
      </c>
      <c r="N21" s="3">
        <v>1</v>
      </c>
    </row>
    <row r="22" spans="13:14" x14ac:dyDescent="0.5">
      <c r="M22" s="3">
        <v>4</v>
      </c>
      <c r="N22" s="3">
        <v>2</v>
      </c>
    </row>
    <row r="23" spans="13:14" x14ac:dyDescent="0.5">
      <c r="M23" s="3">
        <v>4</v>
      </c>
      <c r="N23" s="3">
        <v>3</v>
      </c>
    </row>
    <row r="24" spans="13:14" x14ac:dyDescent="0.5">
      <c r="M24" s="11">
        <v>4</v>
      </c>
      <c r="N24" s="11">
        <v>4</v>
      </c>
    </row>
    <row r="25" spans="13:14" x14ac:dyDescent="0.5">
      <c r="M25" s="12">
        <v>4</v>
      </c>
      <c r="N25" s="12">
        <v>5</v>
      </c>
    </row>
    <row r="26" spans="13:14" x14ac:dyDescent="0.5">
      <c r="M26" s="12">
        <v>4</v>
      </c>
      <c r="N26" s="12">
        <v>6</v>
      </c>
    </row>
    <row r="27" spans="13:14" x14ac:dyDescent="0.5">
      <c r="M27" s="12">
        <v>5</v>
      </c>
      <c r="N27" s="12">
        <v>1</v>
      </c>
    </row>
    <row r="28" spans="13:14" x14ac:dyDescent="0.5">
      <c r="M28" s="12">
        <v>5</v>
      </c>
      <c r="N28" s="12">
        <v>2</v>
      </c>
    </row>
    <row r="29" spans="13:14" x14ac:dyDescent="0.5">
      <c r="M29" s="12">
        <v>5</v>
      </c>
      <c r="N29" s="12">
        <v>3</v>
      </c>
    </row>
    <row r="30" spans="13:14" x14ac:dyDescent="0.5">
      <c r="M30" s="12">
        <v>5</v>
      </c>
      <c r="N30" s="12">
        <v>4</v>
      </c>
    </row>
    <row r="31" spans="13:14" x14ac:dyDescent="0.5">
      <c r="M31" s="8">
        <v>5</v>
      </c>
      <c r="N31" s="8">
        <v>5</v>
      </c>
    </row>
    <row r="32" spans="13:14" x14ac:dyDescent="0.5">
      <c r="M32" s="12">
        <v>5</v>
      </c>
      <c r="N32" s="12">
        <v>6</v>
      </c>
    </row>
    <row r="33" spans="13:14" x14ac:dyDescent="0.5">
      <c r="M33" s="12">
        <v>6</v>
      </c>
      <c r="N33" s="12">
        <v>1</v>
      </c>
    </row>
    <row r="34" spans="13:14" x14ac:dyDescent="0.5">
      <c r="M34" s="12">
        <v>6</v>
      </c>
      <c r="N34" s="12">
        <v>2</v>
      </c>
    </row>
    <row r="35" spans="13:14" x14ac:dyDescent="0.5">
      <c r="M35" s="12">
        <v>6</v>
      </c>
      <c r="N35" s="12">
        <v>3</v>
      </c>
    </row>
    <row r="36" spans="13:14" x14ac:dyDescent="0.5">
      <c r="M36" s="12">
        <v>6</v>
      </c>
      <c r="N36" s="12">
        <v>4</v>
      </c>
    </row>
    <row r="37" spans="13:14" x14ac:dyDescent="0.5">
      <c r="M37" s="12">
        <v>6</v>
      </c>
      <c r="N37" s="12">
        <v>5</v>
      </c>
    </row>
    <row r="38" spans="13:14" x14ac:dyDescent="0.5">
      <c r="M38" s="8">
        <v>6</v>
      </c>
      <c r="N38" s="8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7C97-52E5-4FBF-9E58-EED1467A07AC}">
  <dimension ref="B2:N13"/>
  <sheetViews>
    <sheetView workbookViewId="0">
      <selection activeCell="N3" sqref="C2:N3"/>
    </sheetView>
  </sheetViews>
  <sheetFormatPr baseColWidth="10" defaultColWidth="11.44140625" defaultRowHeight="25.8" x14ac:dyDescent="0.5"/>
  <cols>
    <col min="1" max="2" width="11.44140625" style="3"/>
    <col min="3" max="3" width="18.5546875" style="3" bestFit="1" customWidth="1"/>
    <col min="4" max="14" width="12.44140625" style="3" customWidth="1"/>
    <col min="15" max="16384" width="11.44140625" style="3"/>
  </cols>
  <sheetData>
    <row r="2" spans="2:14" x14ac:dyDescent="0.5">
      <c r="C2" s="4" t="s">
        <v>5</v>
      </c>
      <c r="D2" s="4">
        <v>0</v>
      </c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4">
        <v>8</v>
      </c>
      <c r="M2" s="4">
        <v>9</v>
      </c>
      <c r="N2" s="4">
        <v>10</v>
      </c>
    </row>
    <row r="3" spans="2:14" x14ac:dyDescent="0.5">
      <c r="B3" s="15"/>
      <c r="C3" s="4" t="s">
        <v>29</v>
      </c>
      <c r="D3" s="4">
        <f>BINOMDIST(D2,10,1/3,FALSE)</f>
        <v>1.7341529915832619E-2</v>
      </c>
      <c r="E3" s="4">
        <f t="shared" ref="E3:N3" si="0">BINOMDIST(E2,10,1/3,FALSE)</f>
        <v>8.6707649579163118E-2</v>
      </c>
      <c r="F3" s="4">
        <f t="shared" si="0"/>
        <v>0.19509221155311701</v>
      </c>
      <c r="G3" s="4">
        <f t="shared" si="0"/>
        <v>0.26012294873748926</v>
      </c>
      <c r="H3" s="4">
        <f t="shared" si="0"/>
        <v>0.22760758014530308</v>
      </c>
      <c r="I3" s="4">
        <f t="shared" si="0"/>
        <v>0.13656454808718177</v>
      </c>
      <c r="J3" s="4">
        <f t="shared" si="0"/>
        <v>5.6901895036325721E-2</v>
      </c>
      <c r="K3" s="4">
        <f t="shared" si="0"/>
        <v>1.6257684296093075E-2</v>
      </c>
      <c r="L3" s="4">
        <f t="shared" si="0"/>
        <v>3.0483158055174459E-3</v>
      </c>
      <c r="M3" s="4">
        <f t="shared" si="0"/>
        <v>3.3870175616860506E-4</v>
      </c>
      <c r="N3" s="4">
        <f t="shared" si="0"/>
        <v>1.6935087808430265E-5</v>
      </c>
    </row>
    <row r="4" spans="2:14" x14ac:dyDescent="0.5">
      <c r="B4" s="15"/>
      <c r="C4" s="15"/>
    </row>
    <row r="5" spans="2:14" x14ac:dyDescent="0.5">
      <c r="B5" s="15"/>
      <c r="C5" s="15"/>
    </row>
    <row r="6" spans="2:14" x14ac:dyDescent="0.5">
      <c r="B6" s="15"/>
      <c r="C6" s="15"/>
    </row>
    <row r="7" spans="2:14" x14ac:dyDescent="0.5">
      <c r="B7" s="15"/>
      <c r="C7" s="15"/>
    </row>
    <row r="8" spans="2:14" x14ac:dyDescent="0.5">
      <c r="B8" s="15"/>
      <c r="C8" s="15"/>
    </row>
    <row r="9" spans="2:14" x14ac:dyDescent="0.5">
      <c r="B9" s="15"/>
      <c r="C9" s="15"/>
    </row>
    <row r="10" spans="2:14" x14ac:dyDescent="0.5">
      <c r="B10" s="15"/>
      <c r="C10" s="15"/>
    </row>
    <row r="11" spans="2:14" x14ac:dyDescent="0.5">
      <c r="B11" s="15"/>
      <c r="C11" s="15"/>
    </row>
    <row r="12" spans="2:14" x14ac:dyDescent="0.5">
      <c r="B12" s="15"/>
      <c r="C12" s="15"/>
    </row>
    <row r="13" spans="2:14" x14ac:dyDescent="0.5">
      <c r="B13" s="15"/>
      <c r="C13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839C-471D-483E-B075-69A4D5BCD974}">
  <dimension ref="B2:AB13"/>
  <sheetViews>
    <sheetView topLeftCell="B1" workbookViewId="0">
      <selection activeCell="C3" sqref="C3"/>
    </sheetView>
  </sheetViews>
  <sheetFormatPr baseColWidth="10" defaultColWidth="11.44140625" defaultRowHeight="25.8" x14ac:dyDescent="0.5"/>
  <cols>
    <col min="1" max="1" width="11.44140625" style="3"/>
    <col min="2" max="2" width="18.5546875" style="3" bestFit="1" customWidth="1"/>
    <col min="3" max="16384" width="11.44140625" style="3"/>
  </cols>
  <sheetData>
    <row r="2" spans="2:28" x14ac:dyDescent="0.5">
      <c r="B2" s="4" t="s">
        <v>5</v>
      </c>
      <c r="C2" s="4">
        <v>0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4">
        <v>21</v>
      </c>
      <c r="Y2" s="4">
        <v>22</v>
      </c>
      <c r="Z2" s="4">
        <v>23</v>
      </c>
      <c r="AA2" s="4">
        <v>24</v>
      </c>
      <c r="AB2" s="4">
        <v>25</v>
      </c>
    </row>
    <row r="3" spans="2:28" x14ac:dyDescent="0.5">
      <c r="B3" s="4" t="s">
        <v>29</v>
      </c>
      <c r="C3" s="4">
        <f>BINOMDIST(C2,25,0.07,FALSE)</f>
        <v>0.16295726004499708</v>
      </c>
      <c r="D3" s="4">
        <f t="shared" ref="D3:AB3" si="0">BINOMDIST(D2,25,0.07,FALSE)</f>
        <v>0.30664000546101605</v>
      </c>
      <c r="E3" s="4">
        <f t="shared" si="0"/>
        <v>0.27696516622285328</v>
      </c>
      <c r="F3" s="4">
        <f t="shared" si="0"/>
        <v>0.15982577692429889</v>
      </c>
      <c r="G3" s="4">
        <f t="shared" si="0"/>
        <v>6.6164434533177482E-2</v>
      </c>
      <c r="H3" s="4">
        <f t="shared" si="0"/>
        <v>2.0916498658875453E-2</v>
      </c>
      <c r="I3" s="4">
        <f t="shared" si="0"/>
        <v>5.2478670470296916E-3</v>
      </c>
      <c r="J3" s="4">
        <f t="shared" si="0"/>
        <v>1.0721448805759582E-3</v>
      </c>
      <c r="K3" s="4">
        <f t="shared" si="0"/>
        <v>1.8157292332334781E-4</v>
      </c>
      <c r="L3" s="4">
        <f t="shared" si="0"/>
        <v>2.5815027330320586E-5</v>
      </c>
      <c r="M3" s="4">
        <f t="shared" si="0"/>
        <v>3.1089065171999165E-6</v>
      </c>
      <c r="N3" s="4">
        <f t="shared" si="0"/>
        <v>3.1909597683869953E-7</v>
      </c>
      <c r="O3" s="4">
        <f t="shared" si="0"/>
        <v>2.8020972876516716E-8</v>
      </c>
      <c r="P3" s="4">
        <f t="shared" si="0"/>
        <v>2.1091054853292071E-9</v>
      </c>
      <c r="Q3" s="4">
        <f t="shared" si="0"/>
        <v>1.3607132163414314E-10</v>
      </c>
      <c r="R3" s="4">
        <f t="shared" si="0"/>
        <v>7.5107467855404837E-12</v>
      </c>
      <c r="S3" s="4">
        <f t="shared" si="0"/>
        <v>3.5332814179290068E-13</v>
      </c>
      <c r="T3" s="4">
        <f t="shared" si="0"/>
        <v>1.4079489521159192E-14</v>
      </c>
      <c r="U3" s="4">
        <f t="shared" si="0"/>
        <v>4.7099845471022461E-16</v>
      </c>
      <c r="V3" s="4">
        <f t="shared" si="0"/>
        <v>1.3061077691455052E-17</v>
      </c>
      <c r="W3" s="4">
        <f t="shared" si="0"/>
        <v>2.9492756077479008E-19</v>
      </c>
      <c r="X3" s="4">
        <f t="shared" si="0"/>
        <v>5.2854401572542927E-21</v>
      </c>
      <c r="Y3" s="4">
        <f t="shared" si="0"/>
        <v>7.2332514371026518E-23</v>
      </c>
      <c r="Z3" s="4">
        <f t="shared" si="0"/>
        <v>7.1013688723307413E-25</v>
      </c>
      <c r="AA3" s="4">
        <f t="shared" si="0"/>
        <v>4.4542636295982181E-27</v>
      </c>
      <c r="AB3" s="4">
        <f t="shared" si="0"/>
        <v>1.3410686196639745E-29</v>
      </c>
    </row>
    <row r="4" spans="2:28" x14ac:dyDescent="0.5">
      <c r="B4" s="15"/>
    </row>
    <row r="5" spans="2:28" x14ac:dyDescent="0.5">
      <c r="B5" s="15"/>
    </row>
    <row r="6" spans="2:28" x14ac:dyDescent="0.5">
      <c r="B6" s="15"/>
    </row>
    <row r="7" spans="2:28" x14ac:dyDescent="0.5">
      <c r="B7" s="15"/>
    </row>
    <row r="8" spans="2:28" x14ac:dyDescent="0.5">
      <c r="B8" s="15"/>
    </row>
    <row r="9" spans="2:28" x14ac:dyDescent="0.5">
      <c r="B9" s="15"/>
    </row>
    <row r="10" spans="2:28" x14ac:dyDescent="0.5">
      <c r="B10" s="15"/>
    </row>
    <row r="11" spans="2:28" x14ac:dyDescent="0.5">
      <c r="B11" s="15"/>
    </row>
    <row r="12" spans="2:28" x14ac:dyDescent="0.5">
      <c r="B12" s="15"/>
    </row>
    <row r="13" spans="2:28" x14ac:dyDescent="0.5">
      <c r="B13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Arbre</vt:lpstr>
      <vt:lpstr>Pascal</vt:lpstr>
      <vt:lpstr>Espérance</vt:lpstr>
      <vt:lpstr>Histo</vt:lpstr>
      <vt:lpstr>Exercice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PhilippePC</dc:creator>
  <cp:lastModifiedBy>Philippe Schlegel</cp:lastModifiedBy>
  <dcterms:created xsi:type="dcterms:W3CDTF">2021-09-21T08:07:43Z</dcterms:created>
  <dcterms:modified xsi:type="dcterms:W3CDTF">2021-10-15T12:59:19Z</dcterms:modified>
</cp:coreProperties>
</file>