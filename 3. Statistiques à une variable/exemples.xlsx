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CP\cours\CG\3. Statistiques à une variable\"/>
    </mc:Choice>
  </mc:AlternateContent>
  <xr:revisionPtr revIDLastSave="0" documentId="8_{AA6EFF18-90FD-4EFE-8B0B-F53AE00EC421}" xr6:coauthVersionLast="47" xr6:coauthVersionMax="47" xr10:uidLastSave="{00000000-0000-0000-0000-000000000000}"/>
  <bookViews>
    <workbookView xWindow="28680" yWindow="1680" windowWidth="38640" windowHeight="21840" xr2:uid="{472F65A0-DDBF-4745-B796-E3E79E49CE34}"/>
  </bookViews>
  <sheets>
    <sheet name="Feuil1" sheetId="1" r:id="rId1"/>
  </sheets>
  <definedNames>
    <definedName name="_xlchart.v1.0" hidden="1">Feuil1!$A$25</definedName>
    <definedName name="_xlchart.v1.1" hidden="1">Feuil1!$B$24:$K$24</definedName>
    <definedName name="_xlchart.v1.2" hidden="1">Feuil1!$B$25:$K$25</definedName>
    <definedName name="_xlchart.v1.3" hidden="1">Feuil1!$A$25</definedName>
    <definedName name="_xlchart.v1.4" hidden="1">Feuil1!$B$24:$K$24</definedName>
    <definedName name="_xlchart.v1.5" hidden="1">Feuil1!$B$25:$K$25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5" i="1" l="1"/>
  <c r="B84" i="1"/>
  <c r="B83" i="1"/>
  <c r="C72" i="1"/>
  <c r="B72" i="1"/>
  <c r="C71" i="1"/>
  <c r="B71" i="1"/>
  <c r="D42" i="1"/>
  <c r="E42" i="1" s="1"/>
  <c r="F42" i="1" s="1"/>
  <c r="G42" i="1" s="1"/>
  <c r="H42" i="1" s="1"/>
  <c r="I42" i="1" s="1"/>
  <c r="J42" i="1" s="1"/>
  <c r="K42" i="1" s="1"/>
  <c r="L42" i="1" s="1"/>
  <c r="C42" i="1"/>
  <c r="B42" i="1"/>
</calcChain>
</file>

<file path=xl/sharedStrings.xml><?xml version="1.0" encoding="utf-8"?>
<sst xmlns="http://schemas.openxmlformats.org/spreadsheetml/2006/main" count="42" uniqueCount="42">
  <si>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</si>
  <si>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</si>
  <si>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</si>
  <si>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</si>
  <si>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</si>
  <si>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</si>
  <si>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</si>
  <si>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</si>
  <si>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</si>
  <si>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</si>
  <si>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</si>
  <si>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</si>
  <si>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Montant des ventes</t>
  </si>
  <si>
    <t>Amérique du nord</t>
  </si>
  <si>
    <t>Amérique du sud</t>
  </si>
  <si>
    <t>Asie</t>
  </si>
  <si>
    <t>Europe</t>
  </si>
  <si>
    <t>Océanie</t>
  </si>
  <si>
    <t>Afrique</t>
  </si>
  <si>
    <t>Ventes</t>
  </si>
  <si>
    <t>Salaire</t>
  </si>
  <si>
    <t>Salarié</t>
  </si>
  <si>
    <t>Bob</t>
  </si>
  <si>
    <t>Kim</t>
  </si>
  <si>
    <t>Jim</t>
  </si>
  <si>
    <t>Alison</t>
  </si>
  <si>
    <t>John</t>
  </si>
  <si>
    <t>Alex</t>
  </si>
  <si>
    <t>Ron</t>
  </si>
  <si>
    <t>Beth</t>
  </si>
  <si>
    <t>Brit</t>
  </si>
  <si>
    <t>Jo</t>
  </si>
  <si>
    <t>Fréquentation en h</t>
  </si>
  <si>
    <t>Effectif</t>
  </si>
  <si>
    <t>Cumul</t>
  </si>
  <si>
    <t>Notes Etudiants 1</t>
  </si>
  <si>
    <t>Notes Etudiants 2</t>
  </si>
  <si>
    <t>1er quartile</t>
  </si>
  <si>
    <t>2ème quartile</t>
  </si>
  <si>
    <t>3ème quartile</t>
  </si>
  <si>
    <t>Note</t>
  </si>
  <si>
    <t>Nombre étudiant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</si>
</sst>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/>
    <xf numFmtId="9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Feuil1!$A$2</c:f>
              <c:strCache>
                <c:ptCount val="1"/>
                <c:pt idx="0">
                  <c:v>Montant des ventes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Feuil1!$B$1:$M$1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Feuil1!$B$2:$M$2</c:f>
              <c:numCache>
                <c:formatCode>General</c:formatCode>
                <c:ptCount val="12"/>
                <c:pt idx="0">
                  <c:v>100</c:v>
                </c:pt>
                <c:pt idx="1">
                  <c:v>85</c:v>
                </c:pt>
                <c:pt idx="2">
                  <c:v>104</c:v>
                </c:pt>
                <c:pt idx="3">
                  <c:v>120</c:v>
                </c:pt>
                <c:pt idx="4">
                  <c:v>130</c:v>
                </c:pt>
                <c:pt idx="5">
                  <c:v>190</c:v>
                </c:pt>
                <c:pt idx="6">
                  <c:v>210</c:v>
                </c:pt>
                <c:pt idx="7">
                  <c:v>220</c:v>
                </c:pt>
                <c:pt idx="8">
                  <c:v>190</c:v>
                </c:pt>
                <c:pt idx="9">
                  <c:v>120</c:v>
                </c:pt>
                <c:pt idx="10">
                  <c:v>90</c:v>
                </c:pt>
                <c:pt idx="11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C9-4C6C-8843-B48106B028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4177519"/>
        <c:axId val="1624173679"/>
      </c:barChart>
      <c:catAx>
        <c:axId val="1624177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4173679"/>
        <c:crosses val="autoZero"/>
        <c:auto val="1"/>
        <c:lblAlgn val="ctr"/>
        <c:lblOffset val="100"/>
        <c:noMultiLvlLbl val="0"/>
      </c:catAx>
      <c:valAx>
        <c:axId val="1624173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241775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Feuil1!$A$6</c:f>
              <c:strCache>
                <c:ptCount val="1"/>
                <c:pt idx="0">
                  <c:v>Ventes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Feuil1!$B$5:$G$5</c:f>
              <c:strCache>
                <c:ptCount val="6"/>
                <c:pt idx="0">
                  <c:v>Amérique du nord</c:v>
                </c:pt>
                <c:pt idx="1">
                  <c:v>Amérique du sud</c:v>
                </c:pt>
                <c:pt idx="2">
                  <c:v>Asie</c:v>
                </c:pt>
                <c:pt idx="3">
                  <c:v>Europe</c:v>
                </c:pt>
                <c:pt idx="4">
                  <c:v>Océanie</c:v>
                </c:pt>
                <c:pt idx="5">
                  <c:v>Afrique</c:v>
                </c:pt>
              </c:strCache>
            </c:strRef>
          </c:cat>
          <c:val>
            <c:numRef>
              <c:f>Feuil1!$B$6:$G$6</c:f>
              <c:numCache>
                <c:formatCode>0%</c:formatCode>
                <c:ptCount val="6"/>
                <c:pt idx="0">
                  <c:v>0.2</c:v>
                </c:pt>
                <c:pt idx="1">
                  <c:v>0.09</c:v>
                </c:pt>
                <c:pt idx="2">
                  <c:v>0.1</c:v>
                </c:pt>
                <c:pt idx="3">
                  <c:v>0.54</c:v>
                </c:pt>
                <c:pt idx="4">
                  <c:v>0.02</c:v>
                </c:pt>
                <c:pt idx="5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F7-4231-A940-DC7B5569C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Feuil1!$A$41</c:f>
              <c:strCache>
                <c:ptCount val="1"/>
                <c:pt idx="0">
                  <c:v>Effectif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Feuil1!$B$40:$L$40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Feuil1!$B$41:$L$41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11</c:v>
                </c:pt>
                <c:pt idx="4">
                  <c:v>10</c:v>
                </c:pt>
                <c:pt idx="5">
                  <c:v>7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91E-4695-B571-404826AAD9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0927952"/>
        <c:axId val="1810925552"/>
      </c:scatterChart>
      <c:valAx>
        <c:axId val="181092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0925552"/>
        <c:crosses val="autoZero"/>
        <c:crossBetween val="midCat"/>
      </c:valAx>
      <c:valAx>
        <c:axId val="181092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10927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Feuil1!$A$42</c:f>
              <c:strCache>
                <c:ptCount val="1"/>
                <c:pt idx="0">
                  <c:v>Cumul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Feuil1!$B$40:$L$40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</c:numCache>
            </c:numRef>
          </c:xVal>
          <c:yVal>
            <c:numRef>
              <c:f>Feuil1!$B$42:$L$42</c:f>
              <c:numCache>
                <c:formatCode>General</c:formatCode>
                <c:ptCount val="11"/>
                <c:pt idx="0">
                  <c:v>0</c:v>
                </c:pt>
                <c:pt idx="1">
                  <c:v>2</c:v>
                </c:pt>
                <c:pt idx="2">
                  <c:v>7</c:v>
                </c:pt>
                <c:pt idx="3">
                  <c:v>18</c:v>
                </c:pt>
                <c:pt idx="4">
                  <c:v>28</c:v>
                </c:pt>
                <c:pt idx="5">
                  <c:v>35</c:v>
                </c:pt>
                <c:pt idx="6">
                  <c:v>41</c:v>
                </c:pt>
                <c:pt idx="7">
                  <c:v>45</c:v>
                </c:pt>
                <c:pt idx="8">
                  <c:v>48</c:v>
                </c:pt>
                <c:pt idx="9">
                  <c:v>49</c:v>
                </c:pt>
                <c:pt idx="10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34-4A89-885A-93C0E3424B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3931680"/>
        <c:axId val="1853932160"/>
      </c:scatterChart>
      <c:valAx>
        <c:axId val="1853931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3932160"/>
        <c:crosses val="autoZero"/>
        <c:crossBetween val="midCat"/>
      </c:valAx>
      <c:valAx>
        <c:axId val="185393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539316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 dir="row">_xlchart.v1.4</cx:f>
      </cx:strDim>
      <cx:numDim type="val">
        <cx:f dir="row">_xlchart.v1.5</cx:f>
      </cx:numDim>
    </cx:data>
  </cx:chartData>
  <cx:chart>
    <cx:title pos="t" align="ctr" overlay="0"/>
    <cx:plotArea>
      <cx:plotAreaRegion>
        <cx:series layoutId="clusteredColumn" uniqueId="{0C1DC393-5D3B-43E7-A3F7-28DCDB7B3083}">
          <cx:tx>
            <cx:txData>
              <cx:f>_xlchart.v1.3</cx:f>
              <cx:v>Salaire</cx:v>
            </cx:txData>
          </cx:tx>
          <cx:dataId val="0"/>
          <cx:layoutPr>
            <cx:binning intervalClosed="r">
              <cx:binSize val="5000"/>
            </cx:binning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1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590549</xdr:colOff>
      <xdr:row>1</xdr:row>
      <xdr:rowOff>47624</xdr:rowOff>
    </xdr:from>
    <xdr:to>
      <xdr:col>26</xdr:col>
      <xdr:colOff>428624</xdr:colOff>
      <xdr:row>21</xdr:row>
      <xdr:rowOff>76199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2FAE82B-B7AF-7F4A-5023-751F6B8911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495300</xdr:colOff>
      <xdr:row>3</xdr:row>
      <xdr:rowOff>152400</xdr:rowOff>
    </xdr:from>
    <xdr:to>
      <xdr:col>13</xdr:col>
      <xdr:colOff>495300</xdr:colOff>
      <xdr:row>18</xdr:row>
      <xdr:rowOff>38100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935C48BA-2A47-E1AC-DDE8-8D27E36C24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381000</xdr:colOff>
      <xdr:row>25</xdr:row>
      <xdr:rowOff>28575</xdr:rowOff>
    </xdr:from>
    <xdr:to>
      <xdr:col>20</xdr:col>
      <xdr:colOff>381000</xdr:colOff>
      <xdr:row>39</xdr:row>
      <xdr:rowOff>104775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Graphique 3">
              <a:extLst>
                <a:ext uri="{FF2B5EF4-FFF2-40B4-BE49-F238E27FC236}">
                  <a16:creationId xmlns:a16="http://schemas.microsoft.com/office/drawing/2014/main" id="{D9AC3C2F-3169-39E4-45E4-CB5667EB63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10900" y="4791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 graphique n’est pas disponible dans votre version d’Excel.
La modification de cette forme ou l’enregistrement de ce classeur dans un autre format de fichier endommagera le graphique de façon irréparable.</a:t>
              </a:r>
            </a:p>
          </xdr:txBody>
        </xdr:sp>
      </mc:Fallback>
    </mc:AlternateContent>
    <xdr:clientData/>
  </xdr:twoCellAnchor>
  <xdr:twoCellAnchor>
    <xdr:from>
      <xdr:col>15</xdr:col>
      <xdr:colOff>19050</xdr:colOff>
      <xdr:row>40</xdr:row>
      <xdr:rowOff>123825</xdr:rowOff>
    </xdr:from>
    <xdr:to>
      <xdr:col>21</xdr:col>
      <xdr:colOff>19050</xdr:colOff>
      <xdr:row>55</xdr:row>
      <xdr:rowOff>9525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DF300207-E5F0-8D25-7A33-DBB9414E95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228600</xdr:colOff>
      <xdr:row>48</xdr:row>
      <xdr:rowOff>19050</xdr:rowOff>
    </xdr:from>
    <xdr:to>
      <xdr:col>14</xdr:col>
      <xdr:colOff>228600</xdr:colOff>
      <xdr:row>62</xdr:row>
      <xdr:rowOff>95250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68758EB3-30A1-3A85-1D3F-7299AC337C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F7540-BF74-4EA9-838A-A22C6AB4009E}">
  <dimension ref="A1:M93"/>
  <sheetViews>
    <sheetView tabSelected="1" topLeftCell="A76" workbookViewId="0">
      <selection activeCell="A92" sqref="A92:L93"/>
    </sheetView>
  </sheetViews>
  <sheetFormatPr baseColWidth="10" defaultRowHeight="15" x14ac:dyDescent="0.25"/>
  <cols>
    <col min="1" max="1" width="18" bestFit="1" customWidth="1"/>
    <col min="2" max="2" width="16.85546875" bestFit="1" customWidth="1"/>
    <col min="3" max="3" width="15.85546875" bestFit="1" customWidth="1"/>
    <col min="4" max="4" width="6" bestFit="1" customWidth="1"/>
    <col min="5" max="5" width="7.140625" bestFit="1" customWidth="1"/>
    <col min="6" max="6" width="8.28515625" bestFit="1" customWidth="1"/>
    <col min="7" max="7" width="7.28515625" bestFit="1" customWidth="1"/>
  </cols>
  <sheetData>
    <row r="1" spans="1:13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25">
      <c r="A2" s="1" t="s">
        <v>12</v>
      </c>
      <c r="B2" s="2">
        <v>100</v>
      </c>
      <c r="C2" s="2">
        <v>85</v>
      </c>
      <c r="D2" s="2">
        <v>104</v>
      </c>
      <c r="E2" s="2">
        <v>120</v>
      </c>
      <c r="F2" s="2">
        <v>130</v>
      </c>
      <c r="G2" s="2">
        <v>190</v>
      </c>
      <c r="H2" s="2">
        <v>210</v>
      </c>
      <c r="I2" s="2">
        <v>220</v>
      </c>
      <c r="J2" s="2">
        <v>190</v>
      </c>
      <c r="K2" s="2">
        <v>120</v>
      </c>
      <c r="L2" s="2">
        <v>90</v>
      </c>
      <c r="M2" s="2">
        <v>80</v>
      </c>
    </row>
    <row r="5" spans="1:13" x14ac:dyDescent="0.25">
      <c r="A5" s="1"/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18</v>
      </c>
    </row>
    <row r="6" spans="1:13" x14ac:dyDescent="0.25">
      <c r="A6" s="1" t="s">
        <v>19</v>
      </c>
      <c r="B6" s="5">
        <v>0.2</v>
      </c>
      <c r="C6" s="5">
        <v>0.09</v>
      </c>
      <c r="D6" s="5">
        <v>0.1</v>
      </c>
      <c r="E6" s="5">
        <v>0.54</v>
      </c>
      <c r="F6" s="5">
        <v>0.02</v>
      </c>
      <c r="G6" s="5">
        <v>0.05</v>
      </c>
    </row>
    <row r="24" spans="1:11" x14ac:dyDescent="0.25">
      <c r="A24" s="4" t="s">
        <v>21</v>
      </c>
      <c r="B24" s="1" t="s">
        <v>22</v>
      </c>
      <c r="C24" s="1" t="s">
        <v>23</v>
      </c>
      <c r="D24" s="1" t="s">
        <v>24</v>
      </c>
      <c r="E24" s="1" t="s">
        <v>25</v>
      </c>
      <c r="F24" s="1" t="s">
        <v>26</v>
      </c>
      <c r="G24" s="1" t="s">
        <v>27</v>
      </c>
      <c r="H24" s="1" t="s">
        <v>28</v>
      </c>
      <c r="I24" s="1" t="s">
        <v>29</v>
      </c>
      <c r="J24" s="1" t="s">
        <v>30</v>
      </c>
      <c r="K24" s="1" t="s">
        <v>31</v>
      </c>
    </row>
    <row r="25" spans="1:11" x14ac:dyDescent="0.25">
      <c r="A25" s="4" t="s">
        <v>20</v>
      </c>
      <c r="B25" s="3">
        <v>26000</v>
      </c>
      <c r="C25" s="3">
        <v>52000</v>
      </c>
      <c r="D25" s="3">
        <v>34000</v>
      </c>
      <c r="E25" s="3">
        <v>32000</v>
      </c>
      <c r="F25" s="3">
        <v>44000</v>
      </c>
      <c r="G25" s="3">
        <v>28000</v>
      </c>
      <c r="H25" s="3">
        <v>50000</v>
      </c>
      <c r="I25" s="3">
        <v>47000</v>
      </c>
      <c r="J25" s="3">
        <v>29000</v>
      </c>
      <c r="K25" s="3">
        <v>31000</v>
      </c>
    </row>
    <row r="40" spans="1:12" x14ac:dyDescent="0.25">
      <c r="A40" s="4" t="s">
        <v>32</v>
      </c>
      <c r="B40" s="4">
        <v>0</v>
      </c>
      <c r="C40" s="4">
        <v>1</v>
      </c>
      <c r="D40" s="4">
        <v>2</v>
      </c>
      <c r="E40" s="4">
        <v>3</v>
      </c>
      <c r="F40" s="4">
        <v>4</v>
      </c>
      <c r="G40" s="4">
        <v>5</v>
      </c>
      <c r="H40" s="4">
        <v>6</v>
      </c>
      <c r="I40" s="4">
        <v>7</v>
      </c>
      <c r="J40" s="4">
        <v>8</v>
      </c>
      <c r="K40" s="4">
        <v>9</v>
      </c>
      <c r="L40" s="4">
        <v>10</v>
      </c>
    </row>
    <row r="41" spans="1:12" x14ac:dyDescent="0.25">
      <c r="A41" s="4" t="s">
        <v>33</v>
      </c>
      <c r="B41" s="3">
        <v>0</v>
      </c>
      <c r="C41" s="3">
        <v>2</v>
      </c>
      <c r="D41" s="3">
        <v>5</v>
      </c>
      <c r="E41" s="3">
        <v>11</v>
      </c>
      <c r="F41" s="3">
        <v>10</v>
      </c>
      <c r="G41" s="3">
        <v>7</v>
      </c>
      <c r="H41" s="3">
        <v>6</v>
      </c>
      <c r="I41" s="3">
        <v>4</v>
      </c>
      <c r="J41" s="3">
        <v>3</v>
      </c>
      <c r="K41" s="3">
        <v>1</v>
      </c>
      <c r="L41" s="3">
        <v>1</v>
      </c>
    </row>
    <row r="42" spans="1:12" x14ac:dyDescent="0.25">
      <c r="A42" s="4" t="s">
        <v>34</v>
      </c>
      <c r="B42" s="3">
        <f>B41</f>
        <v>0</v>
      </c>
      <c r="C42" s="3">
        <f>C41+B42</f>
        <v>2</v>
      </c>
      <c r="D42" s="3">
        <f t="shared" ref="D42:L42" si="0">D41+C42</f>
        <v>7</v>
      </c>
      <c r="E42" s="3">
        <f t="shared" si="0"/>
        <v>18</v>
      </c>
      <c r="F42" s="3">
        <f t="shared" si="0"/>
        <v>28</v>
      </c>
      <c r="G42" s="3">
        <f t="shared" si="0"/>
        <v>35</v>
      </c>
      <c r="H42" s="3">
        <f t="shared" si="0"/>
        <v>41</v>
      </c>
      <c r="I42" s="3">
        <f t="shared" si="0"/>
        <v>45</v>
      </c>
      <c r="J42" s="3">
        <f t="shared" si="0"/>
        <v>48</v>
      </c>
      <c r="K42" s="3">
        <f t="shared" si="0"/>
        <v>49</v>
      </c>
      <c r="L42" s="3">
        <f t="shared" si="0"/>
        <v>50</v>
      </c>
    </row>
    <row r="68" spans="1:12" x14ac:dyDescent="0.25">
      <c r="A68" s="4" t="s">
        <v>35</v>
      </c>
      <c r="B68" s="3">
        <v>18</v>
      </c>
      <c r="C68" s="3">
        <v>20</v>
      </c>
      <c r="D68" s="3">
        <v>2</v>
      </c>
      <c r="E68" s="3">
        <v>3</v>
      </c>
      <c r="F68" s="3">
        <v>8</v>
      </c>
      <c r="G68" s="3">
        <v>10</v>
      </c>
      <c r="H68" s="3">
        <v>20</v>
      </c>
      <c r="I68" s="3">
        <v>4</v>
      </c>
      <c r="J68" s="3">
        <v>5</v>
      </c>
      <c r="K68" s="3">
        <v>15</v>
      </c>
      <c r="L68" s="3">
        <v>5</v>
      </c>
    </row>
    <row r="69" spans="1:12" x14ac:dyDescent="0.25">
      <c r="A69" s="4" t="s">
        <v>36</v>
      </c>
      <c r="B69" s="3">
        <v>11</v>
      </c>
      <c r="C69" s="3">
        <v>9</v>
      </c>
      <c r="D69" s="3">
        <v>13</v>
      </c>
      <c r="E69" s="3">
        <v>8</v>
      </c>
      <c r="F69" s="3">
        <v>11</v>
      </c>
      <c r="G69" s="3">
        <v>12</v>
      </c>
      <c r="H69" s="3">
        <v>9</v>
      </c>
      <c r="I69" s="3">
        <v>7</v>
      </c>
      <c r="J69" s="3">
        <v>11</v>
      </c>
      <c r="K69" s="3">
        <v>9</v>
      </c>
      <c r="L69" s="3">
        <v>10</v>
      </c>
    </row>
    <row r="71" spans="1:12" x14ac:dyDescent="0.25">
      <c r="B71">
        <f>AVERAGE(B68:L68)</f>
        <v>10</v>
      </c>
      <c r="C71">
        <f>AVERAGE(B69:L69)</f>
        <v>10</v>
      </c>
    </row>
    <row r="72" spans="1:12" x14ac:dyDescent="0.25">
      <c r="B72">
        <f>_xlfn.STDEV.S(B68:M68)</f>
        <v>7.0142711667000732</v>
      </c>
      <c r="C72">
        <f>_xlfn.STDEV.S(B69:M69)</f>
        <v>1.7888543819998317</v>
      </c>
    </row>
    <row r="81" spans="1:12" x14ac:dyDescent="0.25">
      <c r="A81">
        <v>5</v>
      </c>
      <c r="B81">
        <v>12</v>
      </c>
      <c r="C81">
        <v>15</v>
      </c>
      <c r="D81">
        <v>18</v>
      </c>
      <c r="E81">
        <v>45</v>
      </c>
      <c r="F81">
        <v>50</v>
      </c>
      <c r="G81">
        <v>62</v>
      </c>
      <c r="H81">
        <v>65</v>
      </c>
      <c r="I81">
        <v>75</v>
      </c>
    </row>
    <row r="83" spans="1:12" x14ac:dyDescent="0.25">
      <c r="A83" t="s">
        <v>37</v>
      </c>
      <c r="B83">
        <f>QUARTILE(A$81:I$81,1)</f>
        <v>15</v>
      </c>
    </row>
    <row r="84" spans="1:12" x14ac:dyDescent="0.25">
      <c r="A84" t="s">
        <v>38</v>
      </c>
      <c r="B84">
        <f>QUARTILE(A$81:I$81,2)</f>
        <v>45</v>
      </c>
    </row>
    <row r="85" spans="1:12" x14ac:dyDescent="0.25">
      <c r="A85" t="s">
        <v>39</v>
      </c>
      <c r="B85">
        <f>QUARTILE(A$81:I$81,3)</f>
        <v>62</v>
      </c>
    </row>
    <row r="92" spans="1:12" x14ac:dyDescent="0.25">
      <c r="A92" s="4" t="s">
        <v>40</v>
      </c>
      <c r="B92" s="3">
        <v>0</v>
      </c>
      <c r="C92" s="3">
        <v>1</v>
      </c>
      <c r="D92" s="3">
        <v>2</v>
      </c>
      <c r="E92" s="3">
        <v>3</v>
      </c>
      <c r="F92" s="3">
        <v>4</v>
      </c>
      <c r="G92" s="3">
        <v>5</v>
      </c>
      <c r="H92" s="3">
        <v>6</v>
      </c>
      <c r="I92" s="3">
        <v>7</v>
      </c>
      <c r="J92" s="3">
        <v>8</v>
      </c>
      <c r="K92" s="3">
        <v>9</v>
      </c>
      <c r="L92" s="3">
        <v>10</v>
      </c>
    </row>
    <row r="93" spans="1:12" x14ac:dyDescent="0.25">
      <c r="A93" s="4" t="s">
        <v>41</v>
      </c>
      <c r="B93" s="3">
        <v>2</v>
      </c>
      <c r="C93" s="3">
        <v>0</v>
      </c>
      <c r="D93" s="3">
        <v>0</v>
      </c>
      <c r="E93" s="3">
        <v>4</v>
      </c>
      <c r="F93" s="3">
        <v>3</v>
      </c>
      <c r="G93" s="3">
        <v>10</v>
      </c>
      <c r="H93" s="3">
        <v>12</v>
      </c>
      <c r="I93" s="3">
        <v>13</v>
      </c>
      <c r="J93" s="3">
        <v>7</v>
      </c>
      <c r="K93" s="3">
        <v>8</v>
      </c>
      <c r="L93" s="3">
        <v>5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SCHLEGEL Philippe</dc:creator>
  <cp:lastModifiedBy>SCHLEGEL Philippe</cp:lastModifiedBy>
  <dcterms:created xsi:type="dcterms:W3CDTF">2025-01-29T09:31:49Z</dcterms:created>
  <dcterms:modified xsi:type="dcterms:W3CDTF">2025-01-29T10:47:23Z</dcterms:modified>
</cp:coreProperties>
</file>