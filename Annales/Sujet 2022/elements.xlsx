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P\cours\CG\Annales\2022\"/>
    </mc:Choice>
  </mc:AlternateContent>
  <xr:revisionPtr revIDLastSave="0" documentId="13_ncr:1_{699AAFF3-EEA9-416B-8C35-8756F66EE15C}" xr6:coauthVersionLast="47" xr6:coauthVersionMax="47" xr10:uidLastSave="{00000000-0000-0000-0000-000000000000}"/>
  <bookViews>
    <workbookView xWindow="40080" yWindow="9360" windowWidth="17880" windowHeight="11565" activeTab="4" xr2:uid="{2F4001FF-6C81-45D4-86D5-2A9E7E9EE6BA}"/>
  </bookViews>
  <sheets>
    <sheet name="Execice 1 - PA" sheetId="1" r:id="rId1"/>
    <sheet name="Exercice 1 - PB" sheetId="2" r:id="rId2"/>
    <sheet name="Exercice 2 - PA" sheetId="3" r:id="rId3"/>
    <sheet name="Exercice 2 - PC" sheetId="4" r:id="rId4"/>
    <sheet name="Feuil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B2" i="5"/>
  <c r="K21" i="3"/>
  <c r="K15" i="3"/>
  <c r="K9" i="3"/>
  <c r="F17" i="3"/>
  <c r="A13" i="1"/>
  <c r="B7" i="1"/>
</calcChain>
</file>

<file path=xl/sharedStrings.xml><?xml version="1.0" encoding="utf-8"?>
<sst xmlns="http://schemas.openxmlformats.org/spreadsheetml/2006/main" count="27" uniqueCount="22">
  <si>
    <t>Année</t>
  </si>
  <si>
    <t>Rang de l'année : xi</t>
  </si>
  <si>
    <t>Proporition (en pourcentage de la population) : yi</t>
  </si>
  <si>
    <t>Nombre d'internautes dans le monde en millions</t>
  </si>
  <si>
    <t>F</t>
  </si>
  <si>
    <t>B</t>
  </si>
  <si>
    <t>T</t>
  </si>
  <si>
    <t>R</t>
  </si>
  <si>
    <t>non R</t>
  </si>
  <si>
    <t>Mois</t>
  </si>
  <si>
    <t>Capital restant dû en début de mois</t>
  </si>
  <si>
    <t>Intérêts dus</t>
  </si>
  <si>
    <t>Amortissement du capital</t>
  </si>
  <si>
    <t>Mensualité constante</t>
  </si>
  <si>
    <t>Coefficient de corrélation linéaire</t>
  </si>
  <si>
    <t>u0</t>
  </si>
  <si>
    <t>u1</t>
  </si>
  <si>
    <t>u2</t>
  </si>
  <si>
    <t>u3</t>
  </si>
  <si>
    <t>u4</t>
  </si>
  <si>
    <t>x</t>
  </si>
  <si>
    <t>Loi normale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</si>
</sst>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'Execice 1 - PA'!$B$2:$F$2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'Execice 1 - PA'!$B$3:$F$3</c:f>
              <c:numCache>
                <c:formatCode>0.0</c:formatCode>
                <c:ptCount val="5"/>
                <c:pt idx="0">
                  <c:v>78</c:v>
                </c:pt>
                <c:pt idx="1">
                  <c:v>79.3</c:v>
                </c:pt>
                <c:pt idx="2">
                  <c:v>80.5</c:v>
                </c:pt>
                <c:pt idx="3">
                  <c:v>82</c:v>
                </c:pt>
                <c:pt idx="4">
                  <c:v>83.3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23-442F-8EBB-35FD181F8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004591"/>
        <c:axId val="873989711"/>
      </c:scatterChart>
      <c:valAx>
        <c:axId val="87400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3989711"/>
        <c:crosses val="autoZero"/>
        <c:crossBetween val="midCat"/>
      </c:valAx>
      <c:valAx>
        <c:axId val="87398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4004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447674</xdr:colOff>
      <xdr:row>4</xdr:row>
      <xdr:rowOff>228600</xdr:rowOff>
    </xdr:from>
    <xdr:to>
      <xdr:col>16</xdr:col>
      <xdr:colOff>666749</xdr:colOff>
      <xdr:row>20</xdr:row>
      <xdr:rowOff>66675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26508F4-7F25-35EB-EBE2-9AA4ACF79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6</xdr:row>
      <xdr:rowOff>161925</xdr:rowOff>
    </xdr:from>
    <xdr:to>
      <xdr:col>7</xdr:col>
      <xdr:colOff>752475</xdr:colOff>
      <xdr:row>12</xdr:row>
      <xdr:rowOff>180975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E80EE05E-2333-8B0D-4DBF-5B01AC8AD9C4}"/>
            </a:ext>
          </a:extLst>
        </xdr:cNvPr>
        <xdr:cNvCxnSpPr/>
      </xdr:nvCxnSpPr>
      <xdr:spPr>
        <a:xfrm flipV="1">
          <a:off x="3057525" y="2162175"/>
          <a:ext cx="3028950" cy="2019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161925</xdr:rowOff>
    </xdr:from>
    <xdr:to>
      <xdr:col>8</xdr:col>
      <xdr:colOff>9525</xdr:colOff>
      <xdr:row>12</xdr:row>
      <xdr:rowOff>190500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3E241EFC-6D3A-43FD-9F0C-49CBB87F939B}"/>
            </a:ext>
          </a:extLst>
        </xdr:cNvPr>
        <xdr:cNvCxnSpPr/>
      </xdr:nvCxnSpPr>
      <xdr:spPr>
        <a:xfrm>
          <a:off x="3048000" y="4162425"/>
          <a:ext cx="3057525" cy="285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12</xdr:row>
      <xdr:rowOff>152400</xdr:rowOff>
    </xdr:from>
    <xdr:to>
      <xdr:col>8</xdr:col>
      <xdr:colOff>0</xdr:colOff>
      <xdr:row>18</xdr:row>
      <xdr:rowOff>209550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084041E4-D502-4598-A67D-164BA7A98A1C}"/>
            </a:ext>
          </a:extLst>
        </xdr:cNvPr>
        <xdr:cNvCxnSpPr/>
      </xdr:nvCxnSpPr>
      <xdr:spPr>
        <a:xfrm>
          <a:off x="3057525" y="4152900"/>
          <a:ext cx="3038475" cy="2057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4</xdr:row>
      <xdr:rowOff>161925</xdr:rowOff>
    </xdr:from>
    <xdr:to>
      <xdr:col>12</xdr:col>
      <xdr:colOff>9525</xdr:colOff>
      <xdr:row>6</xdr:row>
      <xdr:rowOff>133350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26AAE40E-8BA0-4115-94C5-FA4AFB03664E}"/>
            </a:ext>
          </a:extLst>
        </xdr:cNvPr>
        <xdr:cNvCxnSpPr/>
      </xdr:nvCxnSpPr>
      <xdr:spPr>
        <a:xfrm flipV="1">
          <a:off x="6877050" y="1495425"/>
          <a:ext cx="2276475" cy="638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6</xdr:row>
      <xdr:rowOff>114300</xdr:rowOff>
    </xdr:from>
    <xdr:to>
      <xdr:col>12</xdr:col>
      <xdr:colOff>9525</xdr:colOff>
      <xdr:row>8</xdr:row>
      <xdr:rowOff>200025</xdr:rowOff>
    </xdr:to>
    <xdr:cxnSp macro="">
      <xdr:nvCxnSpPr>
        <xdr:cNvPr id="13" name="Connecteur droit avec flèche 12">
          <a:extLst>
            <a:ext uri="{FF2B5EF4-FFF2-40B4-BE49-F238E27FC236}">
              <a16:creationId xmlns:a16="http://schemas.microsoft.com/office/drawing/2014/main" id="{48D9E128-B396-43B8-ACDA-EA71E9ED3923}"/>
            </a:ext>
          </a:extLst>
        </xdr:cNvPr>
        <xdr:cNvCxnSpPr/>
      </xdr:nvCxnSpPr>
      <xdr:spPr>
        <a:xfrm>
          <a:off x="6886575" y="2114550"/>
          <a:ext cx="2266950" cy="7524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10</xdr:row>
      <xdr:rowOff>180975</xdr:rowOff>
    </xdr:from>
    <xdr:to>
      <xdr:col>12</xdr:col>
      <xdr:colOff>0</xdr:colOff>
      <xdr:row>12</xdr:row>
      <xdr:rowOff>209550</xdr:rowOff>
    </xdr:to>
    <xdr:cxnSp macro="">
      <xdr:nvCxnSpPr>
        <xdr:cNvPr id="16" name="Connecteur droit avec flèche 15">
          <a:extLst>
            <a:ext uri="{FF2B5EF4-FFF2-40B4-BE49-F238E27FC236}">
              <a16:creationId xmlns:a16="http://schemas.microsoft.com/office/drawing/2014/main" id="{69686D8E-0379-4AB2-B0DC-19ECA822D820}"/>
            </a:ext>
          </a:extLst>
        </xdr:cNvPr>
        <xdr:cNvCxnSpPr/>
      </xdr:nvCxnSpPr>
      <xdr:spPr>
        <a:xfrm flipV="1">
          <a:off x="6886575" y="3514725"/>
          <a:ext cx="2257425" cy="6953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12</xdr:row>
      <xdr:rowOff>190500</xdr:rowOff>
    </xdr:from>
    <xdr:to>
      <xdr:col>12</xdr:col>
      <xdr:colOff>9525</xdr:colOff>
      <xdr:row>14</xdr:row>
      <xdr:rowOff>200025</xdr:rowOff>
    </xdr:to>
    <xdr:cxnSp macro="">
      <xdr:nvCxnSpPr>
        <xdr:cNvPr id="19" name="Connecteur droit avec flèche 18">
          <a:extLst>
            <a:ext uri="{FF2B5EF4-FFF2-40B4-BE49-F238E27FC236}">
              <a16:creationId xmlns:a16="http://schemas.microsoft.com/office/drawing/2014/main" id="{C3E2440A-2956-483D-9D83-3AE6834D9629}"/>
            </a:ext>
          </a:extLst>
        </xdr:cNvPr>
        <xdr:cNvCxnSpPr/>
      </xdr:nvCxnSpPr>
      <xdr:spPr>
        <a:xfrm>
          <a:off x="6867525" y="4191000"/>
          <a:ext cx="2286000" cy="676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16</xdr:row>
      <xdr:rowOff>171450</xdr:rowOff>
    </xdr:from>
    <xdr:to>
      <xdr:col>11</xdr:col>
      <xdr:colOff>752475</xdr:colOff>
      <xdr:row>18</xdr:row>
      <xdr:rowOff>171450</xdr:rowOff>
    </xdr:to>
    <xdr:cxnSp macro="">
      <xdr:nvCxnSpPr>
        <xdr:cNvPr id="22" name="Connecteur droit avec flèche 21">
          <a:extLst>
            <a:ext uri="{FF2B5EF4-FFF2-40B4-BE49-F238E27FC236}">
              <a16:creationId xmlns:a16="http://schemas.microsoft.com/office/drawing/2014/main" id="{ABC1321A-3523-4631-9C93-A043F07EC22C}"/>
            </a:ext>
          </a:extLst>
        </xdr:cNvPr>
        <xdr:cNvCxnSpPr/>
      </xdr:nvCxnSpPr>
      <xdr:spPr>
        <a:xfrm flipV="1">
          <a:off x="6896100" y="5505450"/>
          <a:ext cx="2238375" cy="6667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18</xdr:row>
      <xdr:rowOff>180975</xdr:rowOff>
    </xdr:from>
    <xdr:to>
      <xdr:col>12</xdr:col>
      <xdr:colOff>9525</xdr:colOff>
      <xdr:row>20</xdr:row>
      <xdr:rowOff>200025</xdr:rowOff>
    </xdr:to>
    <xdr:cxnSp macro="">
      <xdr:nvCxnSpPr>
        <xdr:cNvPr id="25" name="Connecteur droit avec flèche 24">
          <a:extLst>
            <a:ext uri="{FF2B5EF4-FFF2-40B4-BE49-F238E27FC236}">
              <a16:creationId xmlns:a16="http://schemas.microsoft.com/office/drawing/2014/main" id="{E7781307-DA94-4605-AF86-A276A0B3A159}"/>
            </a:ext>
          </a:extLst>
        </xdr:cNvPr>
        <xdr:cNvCxnSpPr/>
      </xdr:nvCxnSpPr>
      <xdr:spPr>
        <a:xfrm>
          <a:off x="6877050" y="6181725"/>
          <a:ext cx="2276475" cy="685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B7221-FF63-472E-AA4B-DA7469D1ADAC}">
  <dimension ref="A1:L13"/>
  <sheetViews>
    <sheetView topLeftCell="A4" workbookViewId="0">
      <selection activeCell="A14" sqref="A14"/>
    </sheetView>
  </sheetViews>
  <sheetFormatPr baseColWidth="10" defaultRowHeight="26.25" x14ac:dyDescent="0.4"/>
  <cols>
    <col min="1" max="1" width="80.85546875" style="1" customWidth="1"/>
    <col min="2" max="2" width="17.85546875" style="1" customWidth="1"/>
    <col min="3" max="16384" width="11.42578125" style="1"/>
  </cols>
  <sheetData>
    <row r="1" spans="1:12" x14ac:dyDescent="0.4">
      <c r="A1" s="3" t="s">
        <v>0</v>
      </c>
      <c r="B1" s="4">
        <v>2015</v>
      </c>
      <c r="C1" s="4">
        <v>2016</v>
      </c>
      <c r="D1" s="4">
        <v>2017</v>
      </c>
      <c r="E1" s="4">
        <v>2018</v>
      </c>
      <c r="F1" s="4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</row>
    <row r="2" spans="1:12" x14ac:dyDescent="0.4">
      <c r="A2" s="3" t="s">
        <v>1</v>
      </c>
      <c r="B2" s="4">
        <v>0</v>
      </c>
      <c r="C2" s="4">
        <v>1</v>
      </c>
      <c r="D2" s="4">
        <v>2</v>
      </c>
      <c r="E2" s="4">
        <v>3</v>
      </c>
      <c r="F2" s="4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1:12" x14ac:dyDescent="0.4">
      <c r="A3" s="3" t="s">
        <v>2</v>
      </c>
      <c r="B3" s="5">
        <v>78</v>
      </c>
      <c r="C3" s="5">
        <v>79.3</v>
      </c>
      <c r="D3" s="5">
        <v>80.5</v>
      </c>
      <c r="E3" s="5">
        <v>82</v>
      </c>
      <c r="F3" s="5">
        <v>83.3</v>
      </c>
    </row>
    <row r="7" spans="1:12" x14ac:dyDescent="0.4">
      <c r="A7" s="1" t="s">
        <v>14</v>
      </c>
      <c r="B7" s="1">
        <f>CORREL(B2:F2,B3:F3)</f>
        <v>0.99946337533028673</v>
      </c>
    </row>
    <row r="13" spans="1:12" x14ac:dyDescent="0.4">
      <c r="A13" s="1">
        <f>1.385^(1/4) - 1</f>
        <v>8.4831890015214295E-2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C7EB-C9AA-43E4-84EB-ACC1213ACE7F}">
  <dimension ref="A1:J3"/>
  <sheetViews>
    <sheetView workbookViewId="0">
      <selection activeCell="J3" sqref="J3"/>
    </sheetView>
  </sheetViews>
  <sheetFormatPr baseColWidth="10" defaultRowHeight="26.25" x14ac:dyDescent="0.4"/>
  <cols>
    <col min="1" max="1" width="77.85546875" style="1" bestFit="1" customWidth="1"/>
    <col min="2" max="16384" width="11.42578125" style="1"/>
  </cols>
  <sheetData>
    <row r="1" spans="1:10" x14ac:dyDescent="0.4">
      <c r="A1" s="2" t="s">
        <v>0</v>
      </c>
      <c r="B1" s="4">
        <v>2015</v>
      </c>
      <c r="C1" s="4">
        <v>2016</v>
      </c>
      <c r="D1" s="4">
        <v>2017</v>
      </c>
      <c r="E1" s="4">
        <v>2018</v>
      </c>
      <c r="F1" s="4">
        <v>2019</v>
      </c>
      <c r="G1" s="1">
        <v>2020</v>
      </c>
      <c r="H1" s="1">
        <v>2021</v>
      </c>
      <c r="I1" s="1">
        <v>2022</v>
      </c>
      <c r="J1" s="1">
        <v>2023</v>
      </c>
    </row>
    <row r="2" spans="1:10" x14ac:dyDescent="0.4">
      <c r="A2" s="2" t="s">
        <v>3</v>
      </c>
      <c r="B2" s="4">
        <v>3170</v>
      </c>
      <c r="C2" s="4">
        <v>3417</v>
      </c>
      <c r="D2" s="4">
        <v>3650</v>
      </c>
      <c r="E2" s="4">
        <v>3896</v>
      </c>
      <c r="F2" s="4">
        <v>4390</v>
      </c>
    </row>
    <row r="3" spans="1:10" x14ac:dyDescent="0.4"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F0E2-9EBF-476D-B65B-435023B6DE11}">
  <dimension ref="F4:M21"/>
  <sheetViews>
    <sheetView workbookViewId="0">
      <selection activeCell="I19" sqref="I19"/>
    </sheetView>
  </sheetViews>
  <sheetFormatPr baseColWidth="10" defaultRowHeight="26.25" x14ac:dyDescent="0.4"/>
  <cols>
    <col min="1" max="16384" width="11.42578125" style="1"/>
  </cols>
  <sheetData>
    <row r="4" spans="6:13" x14ac:dyDescent="0.4">
      <c r="K4" s="6">
        <v>0.38</v>
      </c>
    </row>
    <row r="5" spans="6:13" x14ac:dyDescent="0.4">
      <c r="M5" s="7" t="s">
        <v>7</v>
      </c>
    </row>
    <row r="7" spans="6:13" x14ac:dyDescent="0.4">
      <c r="I7" s="4" t="s">
        <v>4</v>
      </c>
    </row>
    <row r="8" spans="6:13" x14ac:dyDescent="0.4">
      <c r="F8" s="6">
        <v>0.3</v>
      </c>
    </row>
    <row r="9" spans="6:13" x14ac:dyDescent="0.4">
      <c r="K9" s="6">
        <f>1-K4</f>
        <v>0.62</v>
      </c>
      <c r="M9" s="4" t="s">
        <v>8</v>
      </c>
    </row>
    <row r="11" spans="6:13" x14ac:dyDescent="0.4">
      <c r="K11" s="6">
        <v>0.1</v>
      </c>
      <c r="M11" s="7" t="s">
        <v>7</v>
      </c>
    </row>
    <row r="12" spans="6:13" x14ac:dyDescent="0.4">
      <c r="G12" s="6">
        <v>0.45</v>
      </c>
    </row>
    <row r="13" spans="6:13" x14ac:dyDescent="0.4">
      <c r="I13" s="4" t="s">
        <v>5</v>
      </c>
    </row>
    <row r="15" spans="6:13" x14ac:dyDescent="0.4">
      <c r="K15" s="6">
        <f>1-K11</f>
        <v>0.9</v>
      </c>
      <c r="M15" s="4" t="s">
        <v>8</v>
      </c>
    </row>
    <row r="17" spans="6:13" x14ac:dyDescent="0.4">
      <c r="F17" s="6">
        <f>1-G12-F8</f>
        <v>0.25000000000000006</v>
      </c>
      <c r="K17" s="6">
        <v>0.02</v>
      </c>
      <c r="M17" s="7" t="s">
        <v>7</v>
      </c>
    </row>
    <row r="19" spans="6:13" x14ac:dyDescent="0.4">
      <c r="I19" s="4" t="s">
        <v>6</v>
      </c>
    </row>
    <row r="21" spans="6:13" x14ac:dyDescent="0.4">
      <c r="K21" s="6">
        <f>1-K17</f>
        <v>0.98</v>
      </c>
      <c r="M21" s="4" t="s">
        <v>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5D2F-A7ED-4D89-BD67-51D6587D6393}">
  <dimension ref="A1:E13"/>
  <sheetViews>
    <sheetView workbookViewId="0">
      <selection activeCell="E2" sqref="E2:E13"/>
    </sheetView>
  </sheetViews>
  <sheetFormatPr baseColWidth="10" defaultRowHeight="26.25" x14ac:dyDescent="0.4"/>
  <cols>
    <col min="1" max="1" width="9" style="1" bestFit="1" customWidth="1"/>
    <col min="2" max="2" width="57.28515625" style="1" bestFit="1" customWidth="1"/>
    <col min="3" max="3" width="20" style="1" bestFit="1" customWidth="1"/>
    <col min="4" max="4" width="41.7109375" style="1" bestFit="1" customWidth="1"/>
    <col min="5" max="5" width="35.5703125" style="1" bestFit="1" customWidth="1"/>
    <col min="6" max="16384" width="11.42578125" style="1"/>
  </cols>
  <sheetData>
    <row r="1" spans="1:5" x14ac:dyDescent="0.4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4">
      <c r="A2" s="1">
        <v>1</v>
      </c>
      <c r="B2" s="1">
        <v>1500</v>
      </c>
      <c r="C2" s="6"/>
      <c r="D2" s="6"/>
      <c r="E2" s="1">
        <v>129.1</v>
      </c>
    </row>
    <row r="3" spans="1:5" x14ac:dyDescent="0.4">
      <c r="A3" s="1">
        <v>2</v>
      </c>
      <c r="B3" s="6"/>
      <c r="E3" s="1">
        <v>129.1</v>
      </c>
    </row>
    <row r="4" spans="1:5" x14ac:dyDescent="0.4">
      <c r="A4" s="1">
        <v>3</v>
      </c>
      <c r="B4" s="1">
        <v>1256.19</v>
      </c>
      <c r="E4" s="1">
        <v>129.1</v>
      </c>
    </row>
    <row r="5" spans="1:5" x14ac:dyDescent="0.4">
      <c r="A5" s="1">
        <v>4</v>
      </c>
      <c r="E5" s="1">
        <v>129.1</v>
      </c>
    </row>
    <row r="6" spans="1:5" x14ac:dyDescent="0.4">
      <c r="A6" s="1">
        <v>5</v>
      </c>
      <c r="E6" s="1">
        <v>129.1</v>
      </c>
    </row>
    <row r="7" spans="1:5" x14ac:dyDescent="0.4">
      <c r="A7" s="1">
        <v>6</v>
      </c>
      <c r="E7" s="1">
        <v>129.1</v>
      </c>
    </row>
    <row r="8" spans="1:5" x14ac:dyDescent="0.4">
      <c r="A8" s="1">
        <v>7</v>
      </c>
      <c r="E8" s="1">
        <v>129.1</v>
      </c>
    </row>
    <row r="9" spans="1:5" x14ac:dyDescent="0.4">
      <c r="A9" s="1">
        <v>8</v>
      </c>
      <c r="E9" s="1">
        <v>129.1</v>
      </c>
    </row>
    <row r="10" spans="1:5" x14ac:dyDescent="0.4">
      <c r="A10" s="1">
        <v>9</v>
      </c>
      <c r="E10" s="1">
        <v>129.1</v>
      </c>
    </row>
    <row r="11" spans="1:5" x14ac:dyDescent="0.4">
      <c r="A11" s="1">
        <v>10</v>
      </c>
      <c r="E11" s="1">
        <v>129.1</v>
      </c>
    </row>
    <row r="12" spans="1:5" x14ac:dyDescent="0.4">
      <c r="A12" s="1">
        <v>11</v>
      </c>
      <c r="E12" s="1">
        <v>129.1</v>
      </c>
    </row>
    <row r="13" spans="1:5" x14ac:dyDescent="0.4">
      <c r="A13" s="1">
        <v>12</v>
      </c>
      <c r="B13" s="1">
        <v>128.44999999999999</v>
      </c>
      <c r="E13" s="1">
        <v>129.1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8FFC-82AF-4BEC-ACAE-299C8A642D84}">
  <dimension ref="A1:D2"/>
  <sheetViews>
    <sheetView tabSelected="1" workbookViewId="0">
      <selection activeCell="D2" sqref="D2"/>
    </sheetView>
  </sheetViews>
  <sheetFormatPr baseColWidth="10" defaultRowHeight="26.25" x14ac:dyDescent="0.4"/>
  <cols>
    <col min="1" max="1" width="11.42578125" style="1"/>
    <col min="2" max="2" width="19.85546875" style="1" bestFit="1" customWidth="1"/>
    <col min="3" max="3" width="11.42578125" style="1"/>
    <col min="4" max="4" width="26" style="1" customWidth="1"/>
    <col min="5" max="16384" width="11.42578125" style="1"/>
  </cols>
  <sheetData>
    <row r="1" spans="1:4" x14ac:dyDescent="0.4">
      <c r="A1" s="1" t="s">
        <v>20</v>
      </c>
      <c r="B1" s="1" t="s">
        <v>21</v>
      </c>
    </row>
    <row r="2" spans="1:4" x14ac:dyDescent="0.4">
      <c r="A2" s="1">
        <v>365</v>
      </c>
      <c r="B2" s="1">
        <f>_xlfn.NORM.DIST(A2,1000,270,TRUE)</f>
        <v>9.340106623573572E-3</v>
      </c>
      <c r="D2" s="1">
        <f>1500*((0.005)/(1-(1.005)^(-12)))</f>
        <v>129.09964456062491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Execice 1 - PA</vt:lpstr>
      <vt:lpstr>Exercice 1 - PB</vt:lpstr>
      <vt:lpstr>Exercice 2 - PA</vt:lpstr>
      <vt:lpstr>Exercice 2 - PC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SCHLEGEL Philippe</dc:creator>
  <cp:lastModifiedBy>SCHLEGEL Philippe</cp:lastModifiedBy>
  <dcterms:created xsi:type="dcterms:W3CDTF">2026-02-19T20:34:52Z</dcterms:created>
  <dcterms:modified xsi:type="dcterms:W3CDTF">2026-02-20T14:55:38Z</dcterms:modified>
</cp:coreProperties>
</file>