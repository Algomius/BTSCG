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P\cours\CG\Annales\"/>
    </mc:Choice>
  </mc:AlternateContent>
  <xr:revisionPtr revIDLastSave="0" documentId="13_ncr:1_{582B1000-1D35-439A-A95E-BCEC039A42DA}" xr6:coauthVersionLast="47" xr6:coauthVersionMax="47" xr10:uidLastSave="{00000000-0000-0000-0000-000000000000}"/>
  <bookViews>
    <workbookView xWindow="35115" yWindow="9390" windowWidth="25095" windowHeight="17325" activeTab="4" xr2:uid="{D7CF03BC-D619-4403-B4C0-91B5E18AC0B7}"/>
  </bookViews>
  <sheets>
    <sheet name="Exercice 1" sheetId="1" r:id="rId1"/>
    <sheet name="Feuil4" sheetId="4" r:id="rId2"/>
    <sheet name="Exercice 2" sheetId="2" r:id="rId3"/>
    <sheet name="Feuil5" sheetId="5" r:id="rId4"/>
    <sheet name="Amortissemen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F3" i="3"/>
  <c r="F4" i="3"/>
  <c r="F2" i="3"/>
  <c r="C3" i="3"/>
  <c r="C4" i="3"/>
  <c r="C5" i="3"/>
  <c r="C2" i="3"/>
  <c r="F1" i="5"/>
  <c r="B5" i="5"/>
  <c r="B4" i="5"/>
  <c r="B3" i="5"/>
  <c r="B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2" i="4"/>
  <c r="A12" i="1"/>
  <c r="D3" i="1"/>
  <c r="F3" i="1"/>
  <c r="G3" i="1"/>
  <c r="H3" i="1"/>
  <c r="C3" i="1"/>
</calcChain>
</file>

<file path=xl/sharedStrings.xml><?xml version="1.0" encoding="utf-8"?>
<sst xmlns="http://schemas.openxmlformats.org/spreadsheetml/2006/main" count="28" uniqueCount="24">
  <si>
    <t>Année</t>
  </si>
  <si>
    <t>Nombre d'entrées au parc</t>
  </si>
  <si>
    <t>Taux d'évolution annuel arrondi à 0,01%</t>
  </si>
  <si>
    <t>Prix TTC en euros : xi</t>
  </si>
  <si>
    <t>Demande mensuelle en nuitée</t>
  </si>
  <si>
    <t>X</t>
  </si>
  <si>
    <t>R'(x)</t>
  </si>
  <si>
    <t>R(X)</t>
  </si>
  <si>
    <t>F</t>
  </si>
  <si>
    <t>non F</t>
  </si>
  <si>
    <t>A</t>
  </si>
  <si>
    <t>non A</t>
  </si>
  <si>
    <t>Période</t>
  </si>
  <si>
    <t>dette en début de période</t>
  </si>
  <si>
    <t>Intérêts</t>
  </si>
  <si>
    <t>Amortissement</t>
  </si>
  <si>
    <t>Annuité</t>
  </si>
  <si>
    <t>Dette en fin de période</t>
  </si>
  <si>
    <t>?</t>
  </si>
  <si>
    <t>x</t>
  </si>
  <si>
    <t>R(x)</t>
  </si>
  <si>
    <t xml:space="preserve">F ∩ A </t>
  </si>
  <si>
    <t xml:space="preserve">non F ∩ A </t>
  </si>
  <si>
    <t>Loi normale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</si>
</sst>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3" fillId="3" borderId="1" xfId="0" applyFont="1" applyFill="1" applyBorder="1"/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0" fontId="2" fillId="0" borderId="1" xfId="1" applyNumberFormat="1" applyFont="1" applyBorder="1"/>
    <xf numFmtId="0" fontId="2" fillId="4" borderId="1" xfId="0" applyFont="1" applyFill="1" applyBorder="1"/>
    <xf numFmtId="0" fontId="2" fillId="0" borderId="1" xfId="0" applyFont="1" applyBorder="1" applyAlignment="1">
      <alignment vertical="top"/>
    </xf>
    <xf numFmtId="0" fontId="2" fillId="0" borderId="2" xfId="0" applyFont="1" applyBorder="1" applyAlignment="1"/>
    <xf numFmtId="0" fontId="0" fillId="0" borderId="3" xfId="0" applyBorder="1" applyAlignment="1"/>
    <xf numFmtId="0" fontId="0" fillId="0" borderId="4" xfId="0" applyBorder="1" applyAlignment="1"/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1534142607174104"/>
                  <c:y val="-0.159443350831146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'Exercice 1'!$B$8:$H$8</c:f>
              <c:numCache>
                <c:formatCode>General</c:formatCode>
                <c:ptCount val="7"/>
                <c:pt idx="0">
                  <c:v>80</c:v>
                </c:pt>
                <c:pt idx="1">
                  <c:v>100</c:v>
                </c:pt>
                <c:pt idx="2">
                  <c:v>110</c:v>
                </c:pt>
                <c:pt idx="3">
                  <c:v>120</c:v>
                </c:pt>
                <c:pt idx="4">
                  <c:v>140</c:v>
                </c:pt>
                <c:pt idx="5">
                  <c:v>160</c:v>
                </c:pt>
                <c:pt idx="6">
                  <c:v>180</c:v>
                </c:pt>
              </c:numCache>
            </c:numRef>
          </c:xVal>
          <c:yVal>
            <c:numRef>
              <c:f>'Exercice 1'!$B$9:$H$9</c:f>
              <c:numCache>
                <c:formatCode>General</c:formatCode>
                <c:ptCount val="7"/>
                <c:pt idx="0">
                  <c:v>540</c:v>
                </c:pt>
                <c:pt idx="1">
                  <c:v>452</c:v>
                </c:pt>
                <c:pt idx="2">
                  <c:v>0</c:v>
                </c:pt>
                <c:pt idx="3">
                  <c:v>335</c:v>
                </c:pt>
                <c:pt idx="4">
                  <c:v>188</c:v>
                </c:pt>
                <c:pt idx="5">
                  <c:v>120</c:v>
                </c:pt>
                <c:pt idx="6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8-4674-9089-F90FE3548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763952"/>
        <c:axId val="476762992"/>
      </c:scatterChart>
      <c:valAx>
        <c:axId val="47676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6762992"/>
        <c:crosses val="autoZero"/>
        <c:crossBetween val="midCat"/>
      </c:valAx>
      <c:valAx>
        <c:axId val="4767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676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Feuil4!$B$1</c:f>
              <c:strCache>
                <c:ptCount val="1"/>
                <c:pt idx="0">
                  <c:v>R(x)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Feuil4!$A$2:$A$102</c:f>
              <c:numCache>
                <c:formatCode>General</c:formatCode>
                <c:ptCount val="10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  <c:pt idx="41">
                  <c:v>121</c:v>
                </c:pt>
                <c:pt idx="42">
                  <c:v>122</c:v>
                </c:pt>
                <c:pt idx="43">
                  <c:v>123</c:v>
                </c:pt>
                <c:pt idx="44">
                  <c:v>124</c:v>
                </c:pt>
                <c:pt idx="45">
                  <c:v>125</c:v>
                </c:pt>
                <c:pt idx="46">
                  <c:v>126</c:v>
                </c:pt>
                <c:pt idx="47">
                  <c:v>127</c:v>
                </c:pt>
                <c:pt idx="48">
                  <c:v>128</c:v>
                </c:pt>
                <c:pt idx="49">
                  <c:v>129</c:v>
                </c:pt>
                <c:pt idx="50">
                  <c:v>130</c:v>
                </c:pt>
                <c:pt idx="51">
                  <c:v>131</c:v>
                </c:pt>
                <c:pt idx="52">
                  <c:v>132</c:v>
                </c:pt>
                <c:pt idx="53">
                  <c:v>133</c:v>
                </c:pt>
                <c:pt idx="54">
                  <c:v>134</c:v>
                </c:pt>
                <c:pt idx="55">
                  <c:v>135</c:v>
                </c:pt>
                <c:pt idx="56">
                  <c:v>136</c:v>
                </c:pt>
                <c:pt idx="57">
                  <c:v>137</c:v>
                </c:pt>
                <c:pt idx="58">
                  <c:v>138</c:v>
                </c:pt>
                <c:pt idx="59">
                  <c:v>139</c:v>
                </c:pt>
                <c:pt idx="60">
                  <c:v>140</c:v>
                </c:pt>
                <c:pt idx="61">
                  <c:v>141</c:v>
                </c:pt>
                <c:pt idx="62">
                  <c:v>142</c:v>
                </c:pt>
                <c:pt idx="63">
                  <c:v>143</c:v>
                </c:pt>
                <c:pt idx="64">
                  <c:v>144</c:v>
                </c:pt>
                <c:pt idx="65">
                  <c:v>145</c:v>
                </c:pt>
                <c:pt idx="66">
                  <c:v>146</c:v>
                </c:pt>
                <c:pt idx="67">
                  <c:v>147</c:v>
                </c:pt>
                <c:pt idx="68">
                  <c:v>148</c:v>
                </c:pt>
                <c:pt idx="69">
                  <c:v>149</c:v>
                </c:pt>
                <c:pt idx="70">
                  <c:v>150</c:v>
                </c:pt>
                <c:pt idx="71">
                  <c:v>151</c:v>
                </c:pt>
                <c:pt idx="72">
                  <c:v>152</c:v>
                </c:pt>
                <c:pt idx="73">
                  <c:v>153</c:v>
                </c:pt>
                <c:pt idx="74">
                  <c:v>154</c:v>
                </c:pt>
                <c:pt idx="75">
                  <c:v>155</c:v>
                </c:pt>
                <c:pt idx="76">
                  <c:v>156</c:v>
                </c:pt>
                <c:pt idx="77">
                  <c:v>157</c:v>
                </c:pt>
                <c:pt idx="78">
                  <c:v>158</c:v>
                </c:pt>
                <c:pt idx="79">
                  <c:v>159</c:v>
                </c:pt>
                <c:pt idx="80">
                  <c:v>160</c:v>
                </c:pt>
                <c:pt idx="81">
                  <c:v>161</c:v>
                </c:pt>
                <c:pt idx="82">
                  <c:v>162</c:v>
                </c:pt>
                <c:pt idx="83">
                  <c:v>163</c:v>
                </c:pt>
                <c:pt idx="84">
                  <c:v>164</c:v>
                </c:pt>
                <c:pt idx="85">
                  <c:v>165</c:v>
                </c:pt>
                <c:pt idx="86">
                  <c:v>166</c:v>
                </c:pt>
                <c:pt idx="87">
                  <c:v>167</c:v>
                </c:pt>
                <c:pt idx="88">
                  <c:v>168</c:v>
                </c:pt>
                <c:pt idx="89">
                  <c:v>169</c:v>
                </c:pt>
                <c:pt idx="90">
                  <c:v>170</c:v>
                </c:pt>
                <c:pt idx="91">
                  <c:v>171</c:v>
                </c:pt>
                <c:pt idx="92">
                  <c:v>172</c:v>
                </c:pt>
                <c:pt idx="93">
                  <c:v>173</c:v>
                </c:pt>
                <c:pt idx="94">
                  <c:v>174</c:v>
                </c:pt>
                <c:pt idx="95">
                  <c:v>175</c:v>
                </c:pt>
                <c:pt idx="96">
                  <c:v>176</c:v>
                </c:pt>
                <c:pt idx="97">
                  <c:v>177</c:v>
                </c:pt>
                <c:pt idx="98">
                  <c:v>178</c:v>
                </c:pt>
                <c:pt idx="99">
                  <c:v>179</c:v>
                </c:pt>
                <c:pt idx="100">
                  <c:v>180</c:v>
                </c:pt>
              </c:numCache>
            </c:numRef>
          </c:xVal>
          <c:yVal>
            <c:numRef>
              <c:f>Feuil4!$B$2:$B$102</c:f>
              <c:numCache>
                <c:formatCode>General</c:formatCode>
                <c:ptCount val="101"/>
                <c:pt idx="0">
                  <c:v>42160</c:v>
                </c:pt>
                <c:pt idx="1">
                  <c:v>42290.1</c:v>
                </c:pt>
                <c:pt idx="2">
                  <c:v>42410.399999999994</c:v>
                </c:pt>
                <c:pt idx="3">
                  <c:v>42520.899999999994</c:v>
                </c:pt>
                <c:pt idx="4">
                  <c:v>42621.599999999999</c:v>
                </c:pt>
                <c:pt idx="5">
                  <c:v>42712.5</c:v>
                </c:pt>
                <c:pt idx="6">
                  <c:v>42793.599999999999</c:v>
                </c:pt>
                <c:pt idx="7">
                  <c:v>42864.899999999994</c:v>
                </c:pt>
                <c:pt idx="8">
                  <c:v>42926.399999999994</c:v>
                </c:pt>
                <c:pt idx="9">
                  <c:v>42978.1</c:v>
                </c:pt>
                <c:pt idx="10">
                  <c:v>43020</c:v>
                </c:pt>
                <c:pt idx="11">
                  <c:v>43052.1</c:v>
                </c:pt>
                <c:pt idx="12">
                  <c:v>43074.399999999994</c:v>
                </c:pt>
                <c:pt idx="13">
                  <c:v>43086.899999999994</c:v>
                </c:pt>
                <c:pt idx="14">
                  <c:v>43089.599999999999</c:v>
                </c:pt>
                <c:pt idx="15">
                  <c:v>43082.5</c:v>
                </c:pt>
                <c:pt idx="16">
                  <c:v>43065.599999999999</c:v>
                </c:pt>
                <c:pt idx="17">
                  <c:v>43038.899999999994</c:v>
                </c:pt>
                <c:pt idx="18">
                  <c:v>43002.399999999994</c:v>
                </c:pt>
                <c:pt idx="19">
                  <c:v>42956.1</c:v>
                </c:pt>
                <c:pt idx="20">
                  <c:v>42900</c:v>
                </c:pt>
                <c:pt idx="21">
                  <c:v>42834.1</c:v>
                </c:pt>
                <c:pt idx="22">
                  <c:v>42758.399999999994</c:v>
                </c:pt>
                <c:pt idx="23">
                  <c:v>42672.899999999994</c:v>
                </c:pt>
                <c:pt idx="24">
                  <c:v>42577.599999999999</c:v>
                </c:pt>
                <c:pt idx="25">
                  <c:v>42472.499999999993</c:v>
                </c:pt>
                <c:pt idx="26">
                  <c:v>42357.599999999999</c:v>
                </c:pt>
                <c:pt idx="27">
                  <c:v>42232.899999999994</c:v>
                </c:pt>
                <c:pt idx="28">
                  <c:v>42098.399999999994</c:v>
                </c:pt>
                <c:pt idx="29">
                  <c:v>41954.1</c:v>
                </c:pt>
                <c:pt idx="30">
                  <c:v>41799.999999999993</c:v>
                </c:pt>
                <c:pt idx="31">
                  <c:v>41636.1</c:v>
                </c:pt>
                <c:pt idx="32">
                  <c:v>41462.399999999994</c:v>
                </c:pt>
                <c:pt idx="33">
                  <c:v>41278.899999999994</c:v>
                </c:pt>
                <c:pt idx="34">
                  <c:v>41085.599999999999</c:v>
                </c:pt>
                <c:pt idx="35">
                  <c:v>40882.499999999993</c:v>
                </c:pt>
                <c:pt idx="36">
                  <c:v>40669.599999999991</c:v>
                </c:pt>
                <c:pt idx="37">
                  <c:v>40446.899999999994</c:v>
                </c:pt>
                <c:pt idx="38">
                  <c:v>40214.399999999994</c:v>
                </c:pt>
                <c:pt idx="39">
                  <c:v>39972.099999999991</c:v>
                </c:pt>
                <c:pt idx="40">
                  <c:v>39720</c:v>
                </c:pt>
                <c:pt idx="41">
                  <c:v>39458.099999999991</c:v>
                </c:pt>
                <c:pt idx="42">
                  <c:v>39186.399999999994</c:v>
                </c:pt>
                <c:pt idx="43">
                  <c:v>38904.899999999994</c:v>
                </c:pt>
                <c:pt idx="44">
                  <c:v>38613.599999999991</c:v>
                </c:pt>
                <c:pt idx="45">
                  <c:v>38312.5</c:v>
                </c:pt>
                <c:pt idx="46">
                  <c:v>38001.599999999991</c:v>
                </c:pt>
                <c:pt idx="47">
                  <c:v>37680.899999999994</c:v>
                </c:pt>
                <c:pt idx="48">
                  <c:v>37350.399999999994</c:v>
                </c:pt>
                <c:pt idx="49">
                  <c:v>37010.099999999991</c:v>
                </c:pt>
                <c:pt idx="50">
                  <c:v>36660</c:v>
                </c:pt>
                <c:pt idx="51">
                  <c:v>36300.099999999991</c:v>
                </c:pt>
                <c:pt idx="52">
                  <c:v>35930.399999999994</c:v>
                </c:pt>
                <c:pt idx="53">
                  <c:v>35550.899999999994</c:v>
                </c:pt>
                <c:pt idx="54">
                  <c:v>35161.599999999991</c:v>
                </c:pt>
                <c:pt idx="55">
                  <c:v>34762.5</c:v>
                </c:pt>
                <c:pt idx="56">
                  <c:v>34353.599999999991</c:v>
                </c:pt>
                <c:pt idx="57">
                  <c:v>33934.899999999994</c:v>
                </c:pt>
                <c:pt idx="58">
                  <c:v>33506.399999999994</c:v>
                </c:pt>
                <c:pt idx="59">
                  <c:v>33068.099999999991</c:v>
                </c:pt>
                <c:pt idx="60">
                  <c:v>32620</c:v>
                </c:pt>
                <c:pt idx="61">
                  <c:v>32162.099999999991</c:v>
                </c:pt>
                <c:pt idx="62">
                  <c:v>31694.399999999994</c:v>
                </c:pt>
                <c:pt idx="63">
                  <c:v>31216.899999999994</c:v>
                </c:pt>
                <c:pt idx="64">
                  <c:v>30729.599999999991</c:v>
                </c:pt>
                <c:pt idx="65">
                  <c:v>30232.499999999985</c:v>
                </c:pt>
                <c:pt idx="66">
                  <c:v>29725.599999999991</c:v>
                </c:pt>
                <c:pt idx="67">
                  <c:v>29208.899999999994</c:v>
                </c:pt>
                <c:pt idx="68">
                  <c:v>28682.399999999994</c:v>
                </c:pt>
                <c:pt idx="69">
                  <c:v>28146.099999999991</c:v>
                </c:pt>
                <c:pt idx="70">
                  <c:v>27599.999999999985</c:v>
                </c:pt>
                <c:pt idx="71">
                  <c:v>27044.099999999991</c:v>
                </c:pt>
                <c:pt idx="72">
                  <c:v>26478.399999999994</c:v>
                </c:pt>
                <c:pt idx="73">
                  <c:v>25902.899999999994</c:v>
                </c:pt>
                <c:pt idx="74">
                  <c:v>25317.599999999991</c:v>
                </c:pt>
                <c:pt idx="75">
                  <c:v>24722.499999999985</c:v>
                </c:pt>
                <c:pt idx="76">
                  <c:v>24117.599999999991</c:v>
                </c:pt>
                <c:pt idx="77">
                  <c:v>23502.899999999994</c:v>
                </c:pt>
                <c:pt idx="78">
                  <c:v>22878.399999999994</c:v>
                </c:pt>
                <c:pt idx="79">
                  <c:v>22244.099999999991</c:v>
                </c:pt>
                <c:pt idx="80">
                  <c:v>21599.999999999985</c:v>
                </c:pt>
                <c:pt idx="81">
                  <c:v>20946.099999999991</c:v>
                </c:pt>
                <c:pt idx="82">
                  <c:v>20282.399999999994</c:v>
                </c:pt>
                <c:pt idx="83">
                  <c:v>19608.899999999994</c:v>
                </c:pt>
                <c:pt idx="84">
                  <c:v>18925.599999999977</c:v>
                </c:pt>
                <c:pt idx="85">
                  <c:v>18232.5</c:v>
                </c:pt>
                <c:pt idx="86">
                  <c:v>17529.599999999977</c:v>
                </c:pt>
                <c:pt idx="87">
                  <c:v>16816.899999999994</c:v>
                </c:pt>
                <c:pt idx="88">
                  <c:v>16094.399999999994</c:v>
                </c:pt>
                <c:pt idx="89">
                  <c:v>15362.099999999977</c:v>
                </c:pt>
                <c:pt idx="90">
                  <c:v>14620</c:v>
                </c:pt>
                <c:pt idx="91">
                  <c:v>13868.099999999977</c:v>
                </c:pt>
                <c:pt idx="92">
                  <c:v>13106.399999999994</c:v>
                </c:pt>
                <c:pt idx="93">
                  <c:v>12334.899999999994</c:v>
                </c:pt>
                <c:pt idx="94">
                  <c:v>11553.599999999977</c:v>
                </c:pt>
                <c:pt idx="95">
                  <c:v>10762.5</c:v>
                </c:pt>
                <c:pt idx="96">
                  <c:v>9961.5999999999767</c:v>
                </c:pt>
                <c:pt idx="97">
                  <c:v>9150.8999999999942</c:v>
                </c:pt>
                <c:pt idx="98">
                  <c:v>8330.3999999999942</c:v>
                </c:pt>
                <c:pt idx="99">
                  <c:v>7500.0999999999767</c:v>
                </c:pt>
                <c:pt idx="100">
                  <c:v>6660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C4-40AF-856D-D1B944A6F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871184"/>
        <c:axId val="484871664"/>
      </c:scatterChart>
      <c:valAx>
        <c:axId val="48487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4871664"/>
        <c:crosses val="autoZero"/>
        <c:crossBetween val="midCat"/>
      </c:valAx>
      <c:valAx>
        <c:axId val="48487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487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7</xdr:row>
      <xdr:rowOff>9524</xdr:rowOff>
    </xdr:from>
    <xdr:to>
      <xdr:col>15</xdr:col>
      <xdr:colOff>600075</xdr:colOff>
      <xdr:row>19</xdr:row>
      <xdr:rowOff>95249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FA88E4E-7312-DD84-664A-959C83E0A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3</xdr:row>
      <xdr:rowOff>323850</xdr:rowOff>
    </xdr:from>
    <xdr:to>
      <xdr:col>12</xdr:col>
      <xdr:colOff>76200</xdr:colOff>
      <xdr:row>12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DA4E462-9188-B39D-A4EC-6C890905C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76200</xdr:colOff>
      <xdr:row>14</xdr:row>
      <xdr:rowOff>238125</xdr:rowOff>
    </xdr:from>
    <xdr:ext cx="65" cy="172227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A46F8B3C-4600-40AC-8EFD-B2839509C4C8}"/>
            </a:ext>
          </a:extLst>
        </xdr:cNvPr>
        <xdr:cNvSpPr txBox="1"/>
      </xdr:nvSpPr>
      <xdr:spPr>
        <a:xfrm>
          <a:off x="11506200" y="4905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FR" sz="1100"/>
        </a:p>
      </xdr:txBody>
    </xdr:sp>
    <xdr:clientData/>
  </xdr:oneCellAnchor>
  <xdr:twoCellAnchor>
    <xdr:from>
      <xdr:col>4</xdr:col>
      <xdr:colOff>381000</xdr:colOff>
      <xdr:row>3</xdr:row>
      <xdr:rowOff>276225</xdr:rowOff>
    </xdr:from>
    <xdr:to>
      <xdr:col>7</xdr:col>
      <xdr:colOff>76200</xdr:colOff>
      <xdr:row>6</xdr:row>
      <xdr:rowOff>200025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FE540B35-4B9F-624F-5B8C-3E037EBB6181}"/>
            </a:ext>
          </a:extLst>
        </xdr:cNvPr>
        <xdr:cNvCxnSpPr/>
      </xdr:nvCxnSpPr>
      <xdr:spPr>
        <a:xfrm flipV="1">
          <a:off x="3429000" y="1276350"/>
          <a:ext cx="1981200" cy="9239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6</xdr:row>
      <xdr:rowOff>209550</xdr:rowOff>
    </xdr:from>
    <xdr:to>
      <xdr:col>7</xdr:col>
      <xdr:colOff>47625</xdr:colOff>
      <xdr:row>9</xdr:row>
      <xdr:rowOff>171450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DA4F679A-A934-4917-9C2C-DD4DEA2D4983}"/>
            </a:ext>
          </a:extLst>
        </xdr:cNvPr>
        <xdr:cNvCxnSpPr/>
      </xdr:nvCxnSpPr>
      <xdr:spPr>
        <a:xfrm>
          <a:off x="3390900" y="2209800"/>
          <a:ext cx="1990725" cy="962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1</xdr:row>
      <xdr:rowOff>200025</xdr:rowOff>
    </xdr:from>
    <xdr:to>
      <xdr:col>12</xdr:col>
      <xdr:colOff>0</xdr:colOff>
      <xdr:row>3</xdr:row>
      <xdr:rowOff>161925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6AAA4194-B92D-47EB-AB27-96243DE3AE73}"/>
            </a:ext>
          </a:extLst>
        </xdr:cNvPr>
        <xdr:cNvCxnSpPr/>
      </xdr:nvCxnSpPr>
      <xdr:spPr>
        <a:xfrm flipV="1">
          <a:off x="6124575" y="533400"/>
          <a:ext cx="3019425" cy="628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3</xdr:row>
      <xdr:rowOff>152400</xdr:rowOff>
    </xdr:from>
    <xdr:to>
      <xdr:col>11</xdr:col>
      <xdr:colOff>742950</xdr:colOff>
      <xdr:row>5</xdr:row>
      <xdr:rowOff>190500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27050492-8A5D-4CB3-962F-33BFAA5E06B5}"/>
            </a:ext>
          </a:extLst>
        </xdr:cNvPr>
        <xdr:cNvCxnSpPr/>
      </xdr:nvCxnSpPr>
      <xdr:spPr>
        <a:xfrm>
          <a:off x="6143625" y="1152525"/>
          <a:ext cx="2981325" cy="704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723900</xdr:colOff>
      <xdr:row>8</xdr:row>
      <xdr:rowOff>190500</xdr:rowOff>
    </xdr:from>
    <xdr:to>
      <xdr:col>12</xdr:col>
      <xdr:colOff>9525</xdr:colOff>
      <xdr:row>9</xdr:row>
      <xdr:rowOff>257175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98BFA4E8-2A0C-4308-B28A-540F39FA0772}"/>
            </a:ext>
          </a:extLst>
        </xdr:cNvPr>
        <xdr:cNvCxnSpPr/>
      </xdr:nvCxnSpPr>
      <xdr:spPr>
        <a:xfrm flipV="1">
          <a:off x="6057900" y="2857500"/>
          <a:ext cx="3095625" cy="400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733425</xdr:colOff>
      <xdr:row>9</xdr:row>
      <xdr:rowOff>228600</xdr:rowOff>
    </xdr:from>
    <xdr:to>
      <xdr:col>12</xdr:col>
      <xdr:colOff>9525</xdr:colOff>
      <xdr:row>12</xdr:row>
      <xdr:rowOff>180975</xdr:rowOff>
    </xdr:to>
    <xdr:cxnSp macro="">
      <xdr:nvCxnSpPr>
        <xdr:cNvPr id="17" name="Connecteur droit avec flèche 16">
          <a:extLst>
            <a:ext uri="{FF2B5EF4-FFF2-40B4-BE49-F238E27FC236}">
              <a16:creationId xmlns:a16="http://schemas.microsoft.com/office/drawing/2014/main" id="{E68BAE22-2F41-4857-A211-AD54ECAC475D}"/>
            </a:ext>
          </a:extLst>
        </xdr:cNvPr>
        <xdr:cNvCxnSpPr/>
      </xdr:nvCxnSpPr>
      <xdr:spPr>
        <a:xfrm>
          <a:off x="6067425" y="3228975"/>
          <a:ext cx="3086100" cy="952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0A79-94B6-4BCE-85B5-EB954EECFFB6}">
  <dimension ref="A1:V12"/>
  <sheetViews>
    <sheetView workbookViewId="0">
      <selection activeCell="E8" sqref="E8:F8"/>
    </sheetView>
  </sheetViews>
  <sheetFormatPr baseColWidth="10" defaultRowHeight="26.25" x14ac:dyDescent="0.4"/>
  <cols>
    <col min="1" max="1" width="65.7109375" style="1" bestFit="1" customWidth="1"/>
    <col min="2" max="2" width="11.5703125" style="1" bestFit="1" customWidth="1"/>
    <col min="3" max="4" width="11.7109375" style="1" bestFit="1" customWidth="1"/>
    <col min="5" max="5" width="11.5703125" style="1" bestFit="1" customWidth="1"/>
    <col min="6" max="8" width="13.5703125" style="1" bestFit="1" customWidth="1"/>
    <col min="9" max="16384" width="11.42578125" style="1"/>
  </cols>
  <sheetData>
    <row r="1" spans="1:22" x14ac:dyDescent="0.4">
      <c r="A1" s="4" t="s">
        <v>0</v>
      </c>
      <c r="B1" s="6">
        <v>2013</v>
      </c>
      <c r="C1" s="6">
        <v>2014</v>
      </c>
      <c r="D1" s="6">
        <v>2015</v>
      </c>
      <c r="E1" s="6">
        <v>2016</v>
      </c>
      <c r="F1" s="6">
        <v>2017</v>
      </c>
      <c r="G1" s="6">
        <v>2018</v>
      </c>
      <c r="H1" s="6">
        <v>2019</v>
      </c>
    </row>
    <row r="2" spans="1:22" x14ac:dyDescent="0.4">
      <c r="A2" s="4" t="s">
        <v>1</v>
      </c>
      <c r="B2" s="2">
        <v>35645</v>
      </c>
      <c r="C2" s="2">
        <v>36258</v>
      </c>
      <c r="D2" s="2">
        <v>38630</v>
      </c>
      <c r="E2" s="2">
        <v>42524</v>
      </c>
      <c r="F2" s="2">
        <v>47641</v>
      </c>
      <c r="G2" s="2">
        <v>53392</v>
      </c>
      <c r="H2" s="2">
        <v>60410</v>
      </c>
      <c r="M2" s="2" t="s">
        <v>5</v>
      </c>
      <c r="N2" s="2">
        <v>80</v>
      </c>
      <c r="O2" s="2"/>
      <c r="P2" s="2"/>
      <c r="Q2" s="2"/>
      <c r="R2" s="8"/>
      <c r="S2" s="2"/>
      <c r="T2" s="2"/>
      <c r="U2" s="2"/>
      <c r="V2" s="2">
        <v>180</v>
      </c>
    </row>
    <row r="3" spans="1:22" x14ac:dyDescent="0.4">
      <c r="A3" s="4" t="s">
        <v>2</v>
      </c>
      <c r="B3" s="3"/>
      <c r="C3" s="7">
        <f>(C2-B2)/B2</f>
        <v>1.7197362883994951E-2</v>
      </c>
      <c r="D3" s="7">
        <f t="shared" ref="D3:H3" si="0">(D2-C2)/C2</f>
        <v>6.5420045231397203E-2</v>
      </c>
      <c r="E3" s="7"/>
      <c r="F3" s="7">
        <f t="shared" si="0"/>
        <v>0.12033204778478036</v>
      </c>
      <c r="G3" s="7">
        <f t="shared" si="0"/>
        <v>0.12071535022354694</v>
      </c>
      <c r="H3" s="7">
        <f t="shared" si="0"/>
        <v>0.13144291279592449</v>
      </c>
      <c r="M3" s="2" t="s">
        <v>6</v>
      </c>
      <c r="N3" s="2"/>
      <c r="O3" s="10"/>
      <c r="P3" s="11"/>
      <c r="Q3" s="12"/>
      <c r="R3" s="2"/>
      <c r="S3" s="10"/>
      <c r="T3" s="11"/>
      <c r="U3" s="12"/>
      <c r="V3" s="2"/>
    </row>
    <row r="4" spans="1:22" ht="156" customHeight="1" x14ac:dyDescent="0.4">
      <c r="M4" s="9" t="s">
        <v>7</v>
      </c>
      <c r="N4" s="10"/>
      <c r="O4" s="11"/>
      <c r="P4" s="11"/>
      <c r="Q4" s="11"/>
      <c r="R4" s="11"/>
      <c r="S4" s="11"/>
      <c r="T4" s="11"/>
      <c r="U4" s="11"/>
      <c r="V4" s="12"/>
    </row>
    <row r="8" spans="1:22" x14ac:dyDescent="0.4">
      <c r="A8" s="4" t="s">
        <v>3</v>
      </c>
      <c r="B8" s="2">
        <v>80</v>
      </c>
      <c r="C8" s="2">
        <v>100</v>
      </c>
      <c r="D8" s="2">
        <v>110</v>
      </c>
      <c r="E8" s="2">
        <v>120</v>
      </c>
      <c r="F8" s="2">
        <v>140</v>
      </c>
      <c r="G8" s="2">
        <v>160</v>
      </c>
      <c r="H8" s="2">
        <v>180</v>
      </c>
    </row>
    <row r="9" spans="1:22" x14ac:dyDescent="0.4">
      <c r="A9" s="4" t="s">
        <v>4</v>
      </c>
      <c r="B9" s="2">
        <v>540</v>
      </c>
      <c r="C9" s="2">
        <v>452</v>
      </c>
      <c r="D9" s="2" t="s">
        <v>18</v>
      </c>
      <c r="E9" s="2">
        <v>335</v>
      </c>
      <c r="F9" s="2">
        <v>188</v>
      </c>
      <c r="G9" s="2">
        <v>120</v>
      </c>
      <c r="H9" s="2">
        <v>88</v>
      </c>
    </row>
    <row r="12" spans="1:22" x14ac:dyDescent="0.4">
      <c r="A12" s="1">
        <f>1.6948^(1/6) - 1</f>
        <v>9.1908908401300726E-2</v>
      </c>
    </row>
  </sheetData>
  <mergeCells count="3">
    <mergeCell ref="N4:V4"/>
    <mergeCell ref="O3:Q3"/>
    <mergeCell ref="S3:U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6767-2E17-45B2-BCDD-007D6C094A8D}">
  <dimension ref="A1:B102"/>
  <sheetViews>
    <sheetView workbookViewId="0">
      <selection activeCell="A16" sqref="A16:B16"/>
    </sheetView>
  </sheetViews>
  <sheetFormatPr baseColWidth="10" defaultRowHeight="26.25" x14ac:dyDescent="0.4"/>
  <cols>
    <col min="1" max="1" width="11.42578125" style="13"/>
    <col min="2" max="2" width="12.5703125" style="13" customWidth="1"/>
    <col min="3" max="16384" width="11.42578125" style="13"/>
  </cols>
  <sheetData>
    <row r="1" spans="1:2" x14ac:dyDescent="0.4">
      <c r="A1" s="13" t="s">
        <v>19</v>
      </c>
      <c r="B1" s="13" t="s">
        <v>20</v>
      </c>
    </row>
    <row r="2" spans="1:2" x14ac:dyDescent="0.4">
      <c r="A2" s="13">
        <v>80</v>
      </c>
      <c r="B2" s="13">
        <f>-4.9*A2^2+919*A2</f>
        <v>42160</v>
      </c>
    </row>
    <row r="3" spans="1:2" x14ac:dyDescent="0.4">
      <c r="A3" s="13">
        <v>81</v>
      </c>
      <c r="B3" s="13">
        <f t="shared" ref="B3:B66" si="0">-4.9*A3^2+919*A3</f>
        <v>42290.1</v>
      </c>
    </row>
    <row r="4" spans="1:2" x14ac:dyDescent="0.4">
      <c r="A4" s="13">
        <v>82</v>
      </c>
      <c r="B4" s="13">
        <f t="shared" si="0"/>
        <v>42410.399999999994</v>
      </c>
    </row>
    <row r="5" spans="1:2" x14ac:dyDescent="0.4">
      <c r="A5" s="13">
        <v>83</v>
      </c>
      <c r="B5" s="13">
        <f t="shared" si="0"/>
        <v>42520.899999999994</v>
      </c>
    </row>
    <row r="6" spans="1:2" x14ac:dyDescent="0.4">
      <c r="A6" s="13">
        <v>84</v>
      </c>
      <c r="B6" s="13">
        <f t="shared" si="0"/>
        <v>42621.599999999999</v>
      </c>
    </row>
    <row r="7" spans="1:2" x14ac:dyDescent="0.4">
      <c r="A7" s="13">
        <v>85</v>
      </c>
      <c r="B7" s="13">
        <f t="shared" si="0"/>
        <v>42712.5</v>
      </c>
    </row>
    <row r="8" spans="1:2" x14ac:dyDescent="0.4">
      <c r="A8" s="13">
        <v>86</v>
      </c>
      <c r="B8" s="13">
        <f t="shared" si="0"/>
        <v>42793.599999999999</v>
      </c>
    </row>
    <row r="9" spans="1:2" x14ac:dyDescent="0.4">
      <c r="A9" s="13">
        <v>87</v>
      </c>
      <c r="B9" s="13">
        <f t="shared" si="0"/>
        <v>42864.899999999994</v>
      </c>
    </row>
    <row r="10" spans="1:2" x14ac:dyDescent="0.4">
      <c r="A10" s="13">
        <v>88</v>
      </c>
      <c r="B10" s="13">
        <f t="shared" si="0"/>
        <v>42926.399999999994</v>
      </c>
    </row>
    <row r="11" spans="1:2" x14ac:dyDescent="0.4">
      <c r="A11" s="13">
        <v>89</v>
      </c>
      <c r="B11" s="13">
        <f t="shared" si="0"/>
        <v>42978.1</v>
      </c>
    </row>
    <row r="12" spans="1:2" x14ac:dyDescent="0.4">
      <c r="A12" s="13">
        <v>90</v>
      </c>
      <c r="B12" s="13">
        <f t="shared" si="0"/>
        <v>43020</v>
      </c>
    </row>
    <row r="13" spans="1:2" x14ac:dyDescent="0.4">
      <c r="A13" s="13">
        <v>91</v>
      </c>
      <c r="B13" s="13">
        <f t="shared" si="0"/>
        <v>43052.1</v>
      </c>
    </row>
    <row r="14" spans="1:2" x14ac:dyDescent="0.4">
      <c r="A14" s="13">
        <v>92</v>
      </c>
      <c r="B14" s="13">
        <f t="shared" si="0"/>
        <v>43074.399999999994</v>
      </c>
    </row>
    <row r="15" spans="1:2" x14ac:dyDescent="0.4">
      <c r="A15" s="13">
        <v>93</v>
      </c>
      <c r="B15" s="13">
        <f t="shared" si="0"/>
        <v>43086.899999999994</v>
      </c>
    </row>
    <row r="16" spans="1:2" x14ac:dyDescent="0.4">
      <c r="A16" s="13">
        <v>94</v>
      </c>
      <c r="B16" s="13">
        <f t="shared" si="0"/>
        <v>43089.599999999999</v>
      </c>
    </row>
    <row r="17" spans="1:2" x14ac:dyDescent="0.4">
      <c r="A17" s="13">
        <v>95</v>
      </c>
      <c r="B17" s="13">
        <f t="shared" si="0"/>
        <v>43082.5</v>
      </c>
    </row>
    <row r="18" spans="1:2" x14ac:dyDescent="0.4">
      <c r="A18" s="13">
        <v>96</v>
      </c>
      <c r="B18" s="13">
        <f t="shared" si="0"/>
        <v>43065.599999999999</v>
      </c>
    </row>
    <row r="19" spans="1:2" x14ac:dyDescent="0.4">
      <c r="A19" s="13">
        <v>97</v>
      </c>
      <c r="B19" s="13">
        <f t="shared" si="0"/>
        <v>43038.899999999994</v>
      </c>
    </row>
    <row r="20" spans="1:2" x14ac:dyDescent="0.4">
      <c r="A20" s="13">
        <v>98</v>
      </c>
      <c r="B20" s="13">
        <f t="shared" si="0"/>
        <v>43002.399999999994</v>
      </c>
    </row>
    <row r="21" spans="1:2" x14ac:dyDescent="0.4">
      <c r="A21" s="13">
        <v>99</v>
      </c>
      <c r="B21" s="13">
        <f t="shared" si="0"/>
        <v>42956.1</v>
      </c>
    </row>
    <row r="22" spans="1:2" x14ac:dyDescent="0.4">
      <c r="A22" s="13">
        <v>100</v>
      </c>
      <c r="B22" s="13">
        <f t="shared" si="0"/>
        <v>42900</v>
      </c>
    </row>
    <row r="23" spans="1:2" x14ac:dyDescent="0.4">
      <c r="A23" s="13">
        <v>101</v>
      </c>
      <c r="B23" s="13">
        <f t="shared" si="0"/>
        <v>42834.1</v>
      </c>
    </row>
    <row r="24" spans="1:2" x14ac:dyDescent="0.4">
      <c r="A24" s="13">
        <v>102</v>
      </c>
      <c r="B24" s="13">
        <f t="shared" si="0"/>
        <v>42758.399999999994</v>
      </c>
    </row>
    <row r="25" spans="1:2" x14ac:dyDescent="0.4">
      <c r="A25" s="13">
        <v>103</v>
      </c>
      <c r="B25" s="13">
        <f t="shared" si="0"/>
        <v>42672.899999999994</v>
      </c>
    </row>
    <row r="26" spans="1:2" x14ac:dyDescent="0.4">
      <c r="A26" s="13">
        <v>104</v>
      </c>
      <c r="B26" s="13">
        <f t="shared" si="0"/>
        <v>42577.599999999999</v>
      </c>
    </row>
    <row r="27" spans="1:2" x14ac:dyDescent="0.4">
      <c r="A27" s="13">
        <v>105</v>
      </c>
      <c r="B27" s="13">
        <f t="shared" si="0"/>
        <v>42472.499999999993</v>
      </c>
    </row>
    <row r="28" spans="1:2" x14ac:dyDescent="0.4">
      <c r="A28" s="13">
        <v>106</v>
      </c>
      <c r="B28" s="13">
        <f t="shared" si="0"/>
        <v>42357.599999999999</v>
      </c>
    </row>
    <row r="29" spans="1:2" x14ac:dyDescent="0.4">
      <c r="A29" s="13">
        <v>107</v>
      </c>
      <c r="B29" s="13">
        <f t="shared" si="0"/>
        <v>42232.899999999994</v>
      </c>
    </row>
    <row r="30" spans="1:2" x14ac:dyDescent="0.4">
      <c r="A30" s="13">
        <v>108</v>
      </c>
      <c r="B30" s="13">
        <f t="shared" si="0"/>
        <v>42098.399999999994</v>
      </c>
    </row>
    <row r="31" spans="1:2" x14ac:dyDescent="0.4">
      <c r="A31" s="13">
        <v>109</v>
      </c>
      <c r="B31" s="13">
        <f t="shared" si="0"/>
        <v>41954.1</v>
      </c>
    </row>
    <row r="32" spans="1:2" x14ac:dyDescent="0.4">
      <c r="A32" s="13">
        <v>110</v>
      </c>
      <c r="B32" s="13">
        <f t="shared" si="0"/>
        <v>41799.999999999993</v>
      </c>
    </row>
    <row r="33" spans="1:2" x14ac:dyDescent="0.4">
      <c r="A33" s="13">
        <v>111</v>
      </c>
      <c r="B33" s="13">
        <f t="shared" si="0"/>
        <v>41636.1</v>
      </c>
    </row>
    <row r="34" spans="1:2" x14ac:dyDescent="0.4">
      <c r="A34" s="13">
        <v>112</v>
      </c>
      <c r="B34" s="13">
        <f t="shared" si="0"/>
        <v>41462.399999999994</v>
      </c>
    </row>
    <row r="35" spans="1:2" x14ac:dyDescent="0.4">
      <c r="A35" s="13">
        <v>113</v>
      </c>
      <c r="B35" s="13">
        <f t="shared" si="0"/>
        <v>41278.899999999994</v>
      </c>
    </row>
    <row r="36" spans="1:2" x14ac:dyDescent="0.4">
      <c r="A36" s="13">
        <v>114</v>
      </c>
      <c r="B36" s="13">
        <f t="shared" si="0"/>
        <v>41085.599999999999</v>
      </c>
    </row>
    <row r="37" spans="1:2" x14ac:dyDescent="0.4">
      <c r="A37" s="13">
        <v>115</v>
      </c>
      <c r="B37" s="13">
        <f t="shared" si="0"/>
        <v>40882.499999999993</v>
      </c>
    </row>
    <row r="38" spans="1:2" x14ac:dyDescent="0.4">
      <c r="A38" s="13">
        <v>116</v>
      </c>
      <c r="B38" s="13">
        <f t="shared" si="0"/>
        <v>40669.599999999991</v>
      </c>
    </row>
    <row r="39" spans="1:2" x14ac:dyDescent="0.4">
      <c r="A39" s="13">
        <v>117</v>
      </c>
      <c r="B39" s="13">
        <f t="shared" si="0"/>
        <v>40446.899999999994</v>
      </c>
    </row>
    <row r="40" spans="1:2" x14ac:dyDescent="0.4">
      <c r="A40" s="13">
        <v>118</v>
      </c>
      <c r="B40" s="13">
        <f t="shared" si="0"/>
        <v>40214.399999999994</v>
      </c>
    </row>
    <row r="41" spans="1:2" x14ac:dyDescent="0.4">
      <c r="A41" s="13">
        <v>119</v>
      </c>
      <c r="B41" s="13">
        <f t="shared" si="0"/>
        <v>39972.099999999991</v>
      </c>
    </row>
    <row r="42" spans="1:2" x14ac:dyDescent="0.4">
      <c r="A42" s="13">
        <v>120</v>
      </c>
      <c r="B42" s="13">
        <f t="shared" si="0"/>
        <v>39720</v>
      </c>
    </row>
    <row r="43" spans="1:2" x14ac:dyDescent="0.4">
      <c r="A43" s="13">
        <v>121</v>
      </c>
      <c r="B43" s="13">
        <f t="shared" si="0"/>
        <v>39458.099999999991</v>
      </c>
    </row>
    <row r="44" spans="1:2" x14ac:dyDescent="0.4">
      <c r="A44" s="13">
        <v>122</v>
      </c>
      <c r="B44" s="13">
        <f t="shared" si="0"/>
        <v>39186.399999999994</v>
      </c>
    </row>
    <row r="45" spans="1:2" x14ac:dyDescent="0.4">
      <c r="A45" s="13">
        <v>123</v>
      </c>
      <c r="B45" s="13">
        <f t="shared" si="0"/>
        <v>38904.899999999994</v>
      </c>
    </row>
    <row r="46" spans="1:2" x14ac:dyDescent="0.4">
      <c r="A46" s="13">
        <v>124</v>
      </c>
      <c r="B46" s="13">
        <f t="shared" si="0"/>
        <v>38613.599999999991</v>
      </c>
    </row>
    <row r="47" spans="1:2" x14ac:dyDescent="0.4">
      <c r="A47" s="13">
        <v>125</v>
      </c>
      <c r="B47" s="13">
        <f t="shared" si="0"/>
        <v>38312.5</v>
      </c>
    </row>
    <row r="48" spans="1:2" x14ac:dyDescent="0.4">
      <c r="A48" s="13">
        <v>126</v>
      </c>
      <c r="B48" s="13">
        <f t="shared" si="0"/>
        <v>38001.599999999991</v>
      </c>
    </row>
    <row r="49" spans="1:2" x14ac:dyDescent="0.4">
      <c r="A49" s="13">
        <v>127</v>
      </c>
      <c r="B49" s="13">
        <f t="shared" si="0"/>
        <v>37680.899999999994</v>
      </c>
    </row>
    <row r="50" spans="1:2" x14ac:dyDescent="0.4">
      <c r="A50" s="13">
        <v>128</v>
      </c>
      <c r="B50" s="13">
        <f t="shared" si="0"/>
        <v>37350.399999999994</v>
      </c>
    </row>
    <row r="51" spans="1:2" x14ac:dyDescent="0.4">
      <c r="A51" s="13">
        <v>129</v>
      </c>
      <c r="B51" s="13">
        <f t="shared" si="0"/>
        <v>37010.099999999991</v>
      </c>
    </row>
    <row r="52" spans="1:2" x14ac:dyDescent="0.4">
      <c r="A52" s="13">
        <v>130</v>
      </c>
      <c r="B52" s="13">
        <f t="shared" si="0"/>
        <v>36660</v>
      </c>
    </row>
    <row r="53" spans="1:2" x14ac:dyDescent="0.4">
      <c r="A53" s="13">
        <v>131</v>
      </c>
      <c r="B53" s="13">
        <f t="shared" si="0"/>
        <v>36300.099999999991</v>
      </c>
    </row>
    <row r="54" spans="1:2" x14ac:dyDescent="0.4">
      <c r="A54" s="13">
        <v>132</v>
      </c>
      <c r="B54" s="13">
        <f t="shared" si="0"/>
        <v>35930.399999999994</v>
      </c>
    </row>
    <row r="55" spans="1:2" x14ac:dyDescent="0.4">
      <c r="A55" s="13">
        <v>133</v>
      </c>
      <c r="B55" s="13">
        <f t="shared" si="0"/>
        <v>35550.899999999994</v>
      </c>
    </row>
    <row r="56" spans="1:2" x14ac:dyDescent="0.4">
      <c r="A56" s="13">
        <v>134</v>
      </c>
      <c r="B56" s="13">
        <f t="shared" si="0"/>
        <v>35161.599999999991</v>
      </c>
    </row>
    <row r="57" spans="1:2" x14ac:dyDescent="0.4">
      <c r="A57" s="13">
        <v>135</v>
      </c>
      <c r="B57" s="13">
        <f t="shared" si="0"/>
        <v>34762.5</v>
      </c>
    </row>
    <row r="58" spans="1:2" x14ac:dyDescent="0.4">
      <c r="A58" s="13">
        <v>136</v>
      </c>
      <c r="B58" s="13">
        <f t="shared" si="0"/>
        <v>34353.599999999991</v>
      </c>
    </row>
    <row r="59" spans="1:2" x14ac:dyDescent="0.4">
      <c r="A59" s="13">
        <v>137</v>
      </c>
      <c r="B59" s="13">
        <f t="shared" si="0"/>
        <v>33934.899999999994</v>
      </c>
    </row>
    <row r="60" spans="1:2" x14ac:dyDescent="0.4">
      <c r="A60" s="13">
        <v>138</v>
      </c>
      <c r="B60" s="13">
        <f t="shared" si="0"/>
        <v>33506.399999999994</v>
      </c>
    </row>
    <row r="61" spans="1:2" x14ac:dyDescent="0.4">
      <c r="A61" s="13">
        <v>139</v>
      </c>
      <c r="B61" s="13">
        <f t="shared" si="0"/>
        <v>33068.099999999991</v>
      </c>
    </row>
    <row r="62" spans="1:2" x14ac:dyDescent="0.4">
      <c r="A62" s="13">
        <v>140</v>
      </c>
      <c r="B62" s="13">
        <f t="shared" si="0"/>
        <v>32620</v>
      </c>
    </row>
    <row r="63" spans="1:2" x14ac:dyDescent="0.4">
      <c r="A63" s="13">
        <v>141</v>
      </c>
      <c r="B63" s="13">
        <f t="shared" si="0"/>
        <v>32162.099999999991</v>
      </c>
    </row>
    <row r="64" spans="1:2" x14ac:dyDescent="0.4">
      <c r="A64" s="13">
        <v>142</v>
      </c>
      <c r="B64" s="13">
        <f t="shared" si="0"/>
        <v>31694.399999999994</v>
      </c>
    </row>
    <row r="65" spans="1:2" x14ac:dyDescent="0.4">
      <c r="A65" s="13">
        <v>143</v>
      </c>
      <c r="B65" s="13">
        <f t="shared" si="0"/>
        <v>31216.899999999994</v>
      </c>
    </row>
    <row r="66" spans="1:2" x14ac:dyDescent="0.4">
      <c r="A66" s="13">
        <v>144</v>
      </c>
      <c r="B66" s="13">
        <f t="shared" si="0"/>
        <v>30729.599999999991</v>
      </c>
    </row>
    <row r="67" spans="1:2" x14ac:dyDescent="0.4">
      <c r="A67" s="13">
        <v>145</v>
      </c>
      <c r="B67" s="13">
        <f t="shared" ref="B67:B102" si="1">-4.9*A67^2+919*A67</f>
        <v>30232.499999999985</v>
      </c>
    </row>
    <row r="68" spans="1:2" x14ac:dyDescent="0.4">
      <c r="A68" s="13">
        <v>146</v>
      </c>
      <c r="B68" s="13">
        <f t="shared" si="1"/>
        <v>29725.599999999991</v>
      </c>
    </row>
    <row r="69" spans="1:2" x14ac:dyDescent="0.4">
      <c r="A69" s="13">
        <v>147</v>
      </c>
      <c r="B69" s="13">
        <f t="shared" si="1"/>
        <v>29208.899999999994</v>
      </c>
    </row>
    <row r="70" spans="1:2" x14ac:dyDescent="0.4">
      <c r="A70" s="13">
        <v>148</v>
      </c>
      <c r="B70" s="13">
        <f t="shared" si="1"/>
        <v>28682.399999999994</v>
      </c>
    </row>
    <row r="71" spans="1:2" x14ac:dyDescent="0.4">
      <c r="A71" s="13">
        <v>149</v>
      </c>
      <c r="B71" s="13">
        <f t="shared" si="1"/>
        <v>28146.099999999991</v>
      </c>
    </row>
    <row r="72" spans="1:2" x14ac:dyDescent="0.4">
      <c r="A72" s="13">
        <v>150</v>
      </c>
      <c r="B72" s="13">
        <f t="shared" si="1"/>
        <v>27599.999999999985</v>
      </c>
    </row>
    <row r="73" spans="1:2" x14ac:dyDescent="0.4">
      <c r="A73" s="13">
        <v>151</v>
      </c>
      <c r="B73" s="13">
        <f t="shared" si="1"/>
        <v>27044.099999999991</v>
      </c>
    </row>
    <row r="74" spans="1:2" x14ac:dyDescent="0.4">
      <c r="A74" s="13">
        <v>152</v>
      </c>
      <c r="B74" s="13">
        <f t="shared" si="1"/>
        <v>26478.399999999994</v>
      </c>
    </row>
    <row r="75" spans="1:2" x14ac:dyDescent="0.4">
      <c r="A75" s="13">
        <v>153</v>
      </c>
      <c r="B75" s="13">
        <f t="shared" si="1"/>
        <v>25902.899999999994</v>
      </c>
    </row>
    <row r="76" spans="1:2" x14ac:dyDescent="0.4">
      <c r="A76" s="13">
        <v>154</v>
      </c>
      <c r="B76" s="13">
        <f t="shared" si="1"/>
        <v>25317.599999999991</v>
      </c>
    </row>
    <row r="77" spans="1:2" x14ac:dyDescent="0.4">
      <c r="A77" s="13">
        <v>155</v>
      </c>
      <c r="B77" s="13">
        <f t="shared" si="1"/>
        <v>24722.499999999985</v>
      </c>
    </row>
    <row r="78" spans="1:2" x14ac:dyDescent="0.4">
      <c r="A78" s="13">
        <v>156</v>
      </c>
      <c r="B78" s="13">
        <f t="shared" si="1"/>
        <v>24117.599999999991</v>
      </c>
    </row>
    <row r="79" spans="1:2" x14ac:dyDescent="0.4">
      <c r="A79" s="13">
        <v>157</v>
      </c>
      <c r="B79" s="13">
        <f t="shared" si="1"/>
        <v>23502.899999999994</v>
      </c>
    </row>
    <row r="80" spans="1:2" x14ac:dyDescent="0.4">
      <c r="A80" s="13">
        <v>158</v>
      </c>
      <c r="B80" s="13">
        <f t="shared" si="1"/>
        <v>22878.399999999994</v>
      </c>
    </row>
    <row r="81" spans="1:2" x14ac:dyDescent="0.4">
      <c r="A81" s="13">
        <v>159</v>
      </c>
      <c r="B81" s="13">
        <f t="shared" si="1"/>
        <v>22244.099999999991</v>
      </c>
    </row>
    <row r="82" spans="1:2" x14ac:dyDescent="0.4">
      <c r="A82" s="13">
        <v>160</v>
      </c>
      <c r="B82" s="13">
        <f t="shared" si="1"/>
        <v>21599.999999999985</v>
      </c>
    </row>
    <row r="83" spans="1:2" x14ac:dyDescent="0.4">
      <c r="A83" s="13">
        <v>161</v>
      </c>
      <c r="B83" s="13">
        <f t="shared" si="1"/>
        <v>20946.099999999991</v>
      </c>
    </row>
    <row r="84" spans="1:2" x14ac:dyDescent="0.4">
      <c r="A84" s="13">
        <v>162</v>
      </c>
      <c r="B84" s="13">
        <f t="shared" si="1"/>
        <v>20282.399999999994</v>
      </c>
    </row>
    <row r="85" spans="1:2" x14ac:dyDescent="0.4">
      <c r="A85" s="13">
        <v>163</v>
      </c>
      <c r="B85" s="13">
        <f t="shared" si="1"/>
        <v>19608.899999999994</v>
      </c>
    </row>
    <row r="86" spans="1:2" x14ac:dyDescent="0.4">
      <c r="A86" s="13">
        <v>164</v>
      </c>
      <c r="B86" s="13">
        <f t="shared" si="1"/>
        <v>18925.599999999977</v>
      </c>
    </row>
    <row r="87" spans="1:2" x14ac:dyDescent="0.4">
      <c r="A87" s="13">
        <v>165</v>
      </c>
      <c r="B87" s="13">
        <f t="shared" si="1"/>
        <v>18232.5</v>
      </c>
    </row>
    <row r="88" spans="1:2" x14ac:dyDescent="0.4">
      <c r="A88" s="13">
        <v>166</v>
      </c>
      <c r="B88" s="13">
        <f t="shared" si="1"/>
        <v>17529.599999999977</v>
      </c>
    </row>
    <row r="89" spans="1:2" x14ac:dyDescent="0.4">
      <c r="A89" s="13">
        <v>167</v>
      </c>
      <c r="B89" s="13">
        <f t="shared" si="1"/>
        <v>16816.899999999994</v>
      </c>
    </row>
    <row r="90" spans="1:2" x14ac:dyDescent="0.4">
      <c r="A90" s="13">
        <v>168</v>
      </c>
      <c r="B90" s="13">
        <f t="shared" si="1"/>
        <v>16094.399999999994</v>
      </c>
    </row>
    <row r="91" spans="1:2" x14ac:dyDescent="0.4">
      <c r="A91" s="13">
        <v>169</v>
      </c>
      <c r="B91" s="13">
        <f t="shared" si="1"/>
        <v>15362.099999999977</v>
      </c>
    </row>
    <row r="92" spans="1:2" x14ac:dyDescent="0.4">
      <c r="A92" s="13">
        <v>170</v>
      </c>
      <c r="B92" s="13">
        <f t="shared" si="1"/>
        <v>14620</v>
      </c>
    </row>
    <row r="93" spans="1:2" x14ac:dyDescent="0.4">
      <c r="A93" s="13">
        <v>171</v>
      </c>
      <c r="B93" s="13">
        <f t="shared" si="1"/>
        <v>13868.099999999977</v>
      </c>
    </row>
    <row r="94" spans="1:2" x14ac:dyDescent="0.4">
      <c r="A94" s="13">
        <v>172</v>
      </c>
      <c r="B94" s="13">
        <f t="shared" si="1"/>
        <v>13106.399999999994</v>
      </c>
    </row>
    <row r="95" spans="1:2" x14ac:dyDescent="0.4">
      <c r="A95" s="13">
        <v>173</v>
      </c>
      <c r="B95" s="13">
        <f t="shared" si="1"/>
        <v>12334.899999999994</v>
      </c>
    </row>
    <row r="96" spans="1:2" x14ac:dyDescent="0.4">
      <c r="A96" s="13">
        <v>174</v>
      </c>
      <c r="B96" s="13">
        <f t="shared" si="1"/>
        <v>11553.599999999977</v>
      </c>
    </row>
    <row r="97" spans="1:2" x14ac:dyDescent="0.4">
      <c r="A97" s="13">
        <v>175</v>
      </c>
      <c r="B97" s="13">
        <f t="shared" si="1"/>
        <v>10762.5</v>
      </c>
    </row>
    <row r="98" spans="1:2" x14ac:dyDescent="0.4">
      <c r="A98" s="13">
        <v>176</v>
      </c>
      <c r="B98" s="13">
        <f t="shared" si="1"/>
        <v>9961.5999999999767</v>
      </c>
    </row>
    <row r="99" spans="1:2" x14ac:dyDescent="0.4">
      <c r="A99" s="13">
        <v>177</v>
      </c>
      <c r="B99" s="13">
        <f t="shared" si="1"/>
        <v>9150.8999999999942</v>
      </c>
    </row>
    <row r="100" spans="1:2" x14ac:dyDescent="0.4">
      <c r="A100" s="13">
        <v>178</v>
      </c>
      <c r="B100" s="13">
        <f t="shared" si="1"/>
        <v>8330.3999999999942</v>
      </c>
    </row>
    <row r="101" spans="1:2" x14ac:dyDescent="0.4">
      <c r="A101" s="13">
        <v>179</v>
      </c>
      <c r="B101" s="13">
        <f t="shared" si="1"/>
        <v>7500.0999999999767</v>
      </c>
    </row>
    <row r="102" spans="1:2" x14ac:dyDescent="0.4">
      <c r="A102" s="13">
        <v>180</v>
      </c>
      <c r="B102" s="13">
        <f t="shared" si="1"/>
        <v>6660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7916-5CAE-48A9-A39D-81639281E216}">
  <dimension ref="F2:Q13"/>
  <sheetViews>
    <sheetView workbookViewId="0">
      <selection activeCell="M9" sqref="M9"/>
    </sheetView>
  </sheetViews>
  <sheetFormatPr baseColWidth="10" defaultRowHeight="26.25" x14ac:dyDescent="0.4"/>
  <cols>
    <col min="1" max="14" width="11.42578125" style="13"/>
    <col min="15" max="15" width="16.140625" style="13" bestFit="1" customWidth="1"/>
    <col min="16" max="16384" width="11.42578125" style="13"/>
  </cols>
  <sheetData>
    <row r="2" spans="6:17" x14ac:dyDescent="0.4">
      <c r="J2" s="14">
        <v>0.8</v>
      </c>
      <c r="M2" s="15" t="s">
        <v>10</v>
      </c>
      <c r="O2" s="13" t="s">
        <v>21</v>
      </c>
      <c r="Q2" s="13">
        <v>0.6</v>
      </c>
    </row>
    <row r="4" spans="6:17" x14ac:dyDescent="0.4">
      <c r="H4" s="5" t="s">
        <v>8</v>
      </c>
    </row>
    <row r="5" spans="6:17" x14ac:dyDescent="0.4">
      <c r="F5" s="14">
        <v>0.75</v>
      </c>
    </row>
    <row r="6" spans="6:17" x14ac:dyDescent="0.4">
      <c r="J6" s="14">
        <v>0.2</v>
      </c>
      <c r="M6" s="5" t="s">
        <v>11</v>
      </c>
    </row>
    <row r="9" spans="6:17" x14ac:dyDescent="0.4">
      <c r="J9" s="14">
        <v>0.4</v>
      </c>
      <c r="M9" s="15" t="s">
        <v>10</v>
      </c>
      <c r="O9" s="13" t="s">
        <v>22</v>
      </c>
      <c r="Q9" s="13" t="s">
        <v>18</v>
      </c>
    </row>
    <row r="10" spans="6:17" x14ac:dyDescent="0.4">
      <c r="F10" s="14">
        <v>0.25</v>
      </c>
      <c r="H10" s="5" t="s">
        <v>9</v>
      </c>
    </row>
    <row r="13" spans="6:17" x14ac:dyDescent="0.4">
      <c r="J13" s="14">
        <v>0.6</v>
      </c>
      <c r="M13" s="5" t="s">
        <v>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5F3F-559D-42D5-AE6F-1864F7D08DE2}">
  <dimension ref="A1:F5"/>
  <sheetViews>
    <sheetView workbookViewId="0">
      <selection activeCell="F2" sqref="F2"/>
    </sheetView>
  </sheetViews>
  <sheetFormatPr baseColWidth="10" defaultRowHeight="26.25" x14ac:dyDescent="0.4"/>
  <cols>
    <col min="1" max="1" width="11.42578125" style="13"/>
    <col min="2" max="2" width="32.42578125" style="13" customWidth="1"/>
    <col min="3" max="5" width="11.42578125" style="13"/>
    <col min="6" max="6" width="15.5703125" style="13" bestFit="1" customWidth="1"/>
    <col min="7" max="16384" width="11.42578125" style="13"/>
  </cols>
  <sheetData>
    <row r="1" spans="1:6" x14ac:dyDescent="0.4">
      <c r="A1" s="13" t="s">
        <v>19</v>
      </c>
      <c r="B1" s="13" t="s">
        <v>23</v>
      </c>
      <c r="F1" s="13">
        <f>110000*((0.039)/(1-(1.039^(-4))))</f>
        <v>30232.519326432332</v>
      </c>
    </row>
    <row r="2" spans="1:6" x14ac:dyDescent="0.4">
      <c r="A2" s="13">
        <v>30</v>
      </c>
      <c r="B2" s="13">
        <f>_xlfn.NORM.DIST(A2, 90,15,TRUE)</f>
        <v>3.1671241833119857E-5</v>
      </c>
    </row>
    <row r="3" spans="1:6" x14ac:dyDescent="0.4">
      <c r="A3" s="13">
        <v>60</v>
      </c>
      <c r="B3" s="13">
        <f>_xlfn.NORM.DIST(A3, 90,15,TRUE)</f>
        <v>2.2750131948179191E-2</v>
      </c>
    </row>
    <row r="4" spans="1:6" x14ac:dyDescent="0.4">
      <c r="A4" s="13">
        <v>120</v>
      </c>
      <c r="B4" s="13">
        <f>_xlfn.NORM.DIST(A4, 90,15,TRUE)</f>
        <v>0.97724986805182079</v>
      </c>
    </row>
    <row r="5" spans="1:6" x14ac:dyDescent="0.4">
      <c r="B5" s="13">
        <f>1-B4</f>
        <v>2.2750131948179209E-2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EF88-9996-4312-A21F-66BFB908C386}">
  <dimension ref="A1:F5"/>
  <sheetViews>
    <sheetView tabSelected="1" workbookViewId="0">
      <selection activeCell="D2" sqref="D2"/>
    </sheetView>
  </sheetViews>
  <sheetFormatPr baseColWidth="10" defaultRowHeight="26.25" x14ac:dyDescent="0.4"/>
  <cols>
    <col min="1" max="1" width="14" style="13" bestFit="1" customWidth="1"/>
    <col min="2" max="2" width="43.42578125" style="13" bestFit="1" customWidth="1"/>
    <col min="3" max="3" width="14.140625" style="13" bestFit="1" customWidth="1"/>
    <col min="4" max="4" width="26.5703125" style="13" bestFit="1" customWidth="1"/>
    <col min="5" max="5" width="17.7109375" style="13" bestFit="1" customWidth="1"/>
    <col min="6" max="6" width="38.5703125" style="13" bestFit="1" customWidth="1"/>
    <col min="7" max="16384" width="11.42578125" style="13"/>
  </cols>
  <sheetData>
    <row r="1" spans="1:6" x14ac:dyDescent="0.4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</row>
    <row r="2" spans="1:6" x14ac:dyDescent="0.4">
      <c r="A2" s="5">
        <v>1</v>
      </c>
      <c r="B2" s="5">
        <v>110000</v>
      </c>
      <c r="C2" s="5">
        <f>B2*0.039</f>
        <v>4290</v>
      </c>
      <c r="D2" s="5">
        <f>E2-C2</f>
        <v>25942.52</v>
      </c>
      <c r="E2" s="5">
        <v>30232.52</v>
      </c>
      <c r="F2" s="5">
        <f>B2-D2</f>
        <v>84057.48</v>
      </c>
    </row>
    <row r="3" spans="1:6" x14ac:dyDescent="0.4">
      <c r="A3" s="5">
        <v>2</v>
      </c>
      <c r="B3" s="5"/>
      <c r="C3" s="5">
        <f t="shared" ref="C3:C5" si="0">B3*0.039</f>
        <v>0</v>
      </c>
      <c r="D3" s="5"/>
      <c r="E3" s="5">
        <v>30232.52</v>
      </c>
      <c r="F3" s="5">
        <f t="shared" ref="F3:F4" si="1">B3-D3</f>
        <v>0</v>
      </c>
    </row>
    <row r="4" spans="1:6" x14ac:dyDescent="0.4">
      <c r="A4" s="5">
        <v>3</v>
      </c>
      <c r="B4" s="5"/>
      <c r="C4" s="5">
        <f t="shared" si="0"/>
        <v>0</v>
      </c>
      <c r="D4" s="5"/>
      <c r="E4" s="5">
        <v>30232.52</v>
      </c>
      <c r="F4" s="5">
        <f t="shared" si="1"/>
        <v>0</v>
      </c>
    </row>
    <row r="5" spans="1:6" x14ac:dyDescent="0.4">
      <c r="A5" s="5">
        <v>4</v>
      </c>
      <c r="B5" s="5"/>
      <c r="C5" s="5">
        <f t="shared" si="0"/>
        <v>0</v>
      </c>
      <c r="D5" s="5"/>
      <c r="E5" s="5">
        <v>30232.52</v>
      </c>
      <c r="F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Exercice 1</vt:lpstr>
      <vt:lpstr>Feuil4</vt:lpstr>
      <vt:lpstr>Exercice 2</vt:lpstr>
      <vt:lpstr>Feuil5</vt:lpstr>
      <vt:lpstr>Amortissement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SCHLEGEL Philippe</dc:creator>
  <cp:lastModifiedBy>SCHLEGEL Philippe</cp:lastModifiedBy>
  <dcterms:created xsi:type="dcterms:W3CDTF">2026-02-17T06:54:50Z</dcterms:created>
  <dcterms:modified xsi:type="dcterms:W3CDTF">2026-02-17T09:42:19Z</dcterms:modified>
</cp:coreProperties>
</file>