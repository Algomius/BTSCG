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10. Dérivation\"/>
    </mc:Choice>
  </mc:AlternateContent>
  <xr:revisionPtr revIDLastSave="0" documentId="13_ncr:1_{EB5D080B-13D8-4AD7-8969-764AF7761B00}" xr6:coauthVersionLast="47" xr6:coauthVersionMax="47" xr10:uidLastSave="{00000000-0000-0000-0000-000000000000}"/>
  <bookViews>
    <workbookView xWindow="28680" yWindow="1800" windowWidth="38640" windowHeight="21840" activeTab="1" xr2:uid="{3E8A510F-3C96-4CDD-927B-907C495CD5CA}"/>
  </bookViews>
  <sheets>
    <sheet name="Feuil1" sheetId="1" r:id="rId1"/>
    <sheet name="Feuil3" sheetId="3" r:id="rId2"/>
    <sheet name="Feuil4" sheetId="4" r:id="rId3"/>
    <sheet name="Feuil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2" i="1"/>
</calcChain>
</file>

<file path=xl/sharedStrings.xml><?xml version="1.0" encoding="utf-8"?>
<sst xmlns="http://schemas.openxmlformats.org/spreadsheetml/2006/main" count="69" uniqueCount="40">
  <si>
    <t>f(x)</t>
  </si>
  <si>
    <t>dérivée</t>
  </si>
  <si>
    <t>Droite</t>
  </si>
  <si>
    <t>Fonction f</t>
  </si>
  <si>
    <t>Dérivée f'</t>
  </si>
  <si>
    <t>f(x) = k (constante)</t>
  </si>
  <si>
    <t>f'(x) = 0</t>
  </si>
  <si>
    <t>f(x) = a*x (a réel)</t>
  </si>
  <si>
    <t>f'(x) = a</t>
  </si>
  <si>
    <t>f'(x) = 2 * a * x</t>
  </si>
  <si>
    <t>f'(x) = 3 * a * x²</t>
  </si>
  <si>
    <t>f(x) = a * x²  (a réel)</t>
  </si>
  <si>
    <r>
      <t>f(x) = a *  x</t>
    </r>
    <r>
      <rPr>
        <vertAlign val="superscript"/>
        <sz val="20"/>
        <color theme="1"/>
        <rFont val="Aptos Narrow"/>
        <family val="2"/>
        <scheme val="minor"/>
      </rPr>
      <t>3</t>
    </r>
    <r>
      <rPr>
        <sz val="20"/>
        <color theme="1"/>
        <rFont val="Aptos Narrow"/>
        <family val="2"/>
        <scheme val="minor"/>
      </rPr>
      <t xml:space="preserve">  (a réel)</t>
    </r>
  </si>
  <si>
    <r>
      <t>f(x) = a* x</t>
    </r>
    <r>
      <rPr>
        <vertAlign val="superscript"/>
        <sz val="20"/>
        <color theme="1"/>
        <rFont val="Aptos Narrow"/>
        <family val="2"/>
        <scheme val="minor"/>
      </rPr>
      <t>n</t>
    </r>
    <r>
      <rPr>
        <sz val="20"/>
        <color theme="1"/>
        <rFont val="Aptos Narrow"/>
        <family val="2"/>
        <scheme val="minor"/>
      </rPr>
      <t xml:space="preserve"> (n entier naturel, a réel) </t>
    </r>
  </si>
  <si>
    <r>
      <t xml:space="preserve">f'(x) = n * a * x </t>
    </r>
    <r>
      <rPr>
        <vertAlign val="superscript"/>
        <sz val="20"/>
        <color theme="1"/>
        <rFont val="Aptos Narrow"/>
        <family val="2"/>
        <scheme val="minor"/>
      </rPr>
      <t>(n-1)</t>
    </r>
  </si>
  <si>
    <t>f(x) = 1/x</t>
  </si>
  <si>
    <t>f'(x) = -1/x²</t>
  </si>
  <si>
    <t>Somme</t>
  </si>
  <si>
    <t>Différence</t>
  </si>
  <si>
    <t>Quotient</t>
  </si>
  <si>
    <t>f(x) = u + v</t>
  </si>
  <si>
    <t>f'(x) = u' + v'</t>
  </si>
  <si>
    <t xml:space="preserve">f(x) = u - v </t>
  </si>
  <si>
    <t>f'(x) = u' - v'</t>
  </si>
  <si>
    <t>Produit par un nombre réel</t>
  </si>
  <si>
    <t>f(x) = k * u (k réel)</t>
  </si>
  <si>
    <t>f'(x) = k * u'</t>
  </si>
  <si>
    <t>f(x) = u / v</t>
  </si>
  <si>
    <t>f'(x) = (u'v - uv')/v²</t>
  </si>
  <si>
    <t>Valeur de x</t>
  </si>
  <si>
    <t>min</t>
  </si>
  <si>
    <t>max</t>
  </si>
  <si>
    <t>Signe de f'(x)</t>
  </si>
  <si>
    <t>-</t>
  </si>
  <si>
    <t>Sens de variation de f(x)</t>
  </si>
  <si>
    <t>+</t>
  </si>
  <si>
    <t>a</t>
  </si>
  <si>
    <t>b</t>
  </si>
  <si>
    <t>+ ∞</t>
  </si>
  <si>
    <t>- 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</si>
</sst>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vertAlign val="superscript"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3" borderId="0" xfId="0" applyFont="1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top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Fonction polynomiale et sa tangeante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f(x)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Feuil1!$B$2:$B$52</c:f>
              <c:numCache>
                <c:formatCode>General</c:formatCode>
                <c:ptCount val="51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24</c:v>
                </c:pt>
                <c:pt idx="5">
                  <c:v>44</c:v>
                </c:pt>
                <c:pt idx="6">
                  <c:v>70</c:v>
                </c:pt>
                <c:pt idx="7">
                  <c:v>102</c:v>
                </c:pt>
                <c:pt idx="8">
                  <c:v>140</c:v>
                </c:pt>
                <c:pt idx="9">
                  <c:v>184</c:v>
                </c:pt>
                <c:pt idx="10">
                  <c:v>234</c:v>
                </c:pt>
                <c:pt idx="11">
                  <c:v>290</c:v>
                </c:pt>
                <c:pt idx="12">
                  <c:v>352</c:v>
                </c:pt>
                <c:pt idx="13">
                  <c:v>420</c:v>
                </c:pt>
                <c:pt idx="14">
                  <c:v>494</c:v>
                </c:pt>
                <c:pt idx="15">
                  <c:v>574</c:v>
                </c:pt>
                <c:pt idx="16">
                  <c:v>660</c:v>
                </c:pt>
                <c:pt idx="17">
                  <c:v>752</c:v>
                </c:pt>
                <c:pt idx="18">
                  <c:v>850</c:v>
                </c:pt>
                <c:pt idx="19">
                  <c:v>954</c:v>
                </c:pt>
                <c:pt idx="20">
                  <c:v>1064</c:v>
                </c:pt>
                <c:pt idx="21">
                  <c:v>1180</c:v>
                </c:pt>
                <c:pt idx="22">
                  <c:v>1302</c:v>
                </c:pt>
                <c:pt idx="23">
                  <c:v>1430</c:v>
                </c:pt>
                <c:pt idx="24">
                  <c:v>1564</c:v>
                </c:pt>
                <c:pt idx="25">
                  <c:v>1704</c:v>
                </c:pt>
                <c:pt idx="26">
                  <c:v>1850</c:v>
                </c:pt>
                <c:pt idx="27">
                  <c:v>2002</c:v>
                </c:pt>
                <c:pt idx="28">
                  <c:v>2160</c:v>
                </c:pt>
                <c:pt idx="29">
                  <c:v>2324</c:v>
                </c:pt>
                <c:pt idx="30">
                  <c:v>2494</c:v>
                </c:pt>
                <c:pt idx="31">
                  <c:v>2670</c:v>
                </c:pt>
                <c:pt idx="32">
                  <c:v>2852</c:v>
                </c:pt>
                <c:pt idx="33">
                  <c:v>3040</c:v>
                </c:pt>
                <c:pt idx="34">
                  <c:v>3234</c:v>
                </c:pt>
                <c:pt idx="35">
                  <c:v>3434</c:v>
                </c:pt>
                <c:pt idx="36">
                  <c:v>3640</c:v>
                </c:pt>
                <c:pt idx="37">
                  <c:v>3852</c:v>
                </c:pt>
                <c:pt idx="38">
                  <c:v>4070</c:v>
                </c:pt>
                <c:pt idx="39">
                  <c:v>4294</c:v>
                </c:pt>
                <c:pt idx="40">
                  <c:v>4524</c:v>
                </c:pt>
                <c:pt idx="41">
                  <c:v>4760</c:v>
                </c:pt>
                <c:pt idx="42">
                  <c:v>5002</c:v>
                </c:pt>
                <c:pt idx="43">
                  <c:v>5250</c:v>
                </c:pt>
                <c:pt idx="44">
                  <c:v>5504</c:v>
                </c:pt>
                <c:pt idx="45">
                  <c:v>5764</c:v>
                </c:pt>
                <c:pt idx="46">
                  <c:v>6030</c:v>
                </c:pt>
                <c:pt idx="47">
                  <c:v>6302</c:v>
                </c:pt>
                <c:pt idx="48">
                  <c:v>6580</c:v>
                </c:pt>
                <c:pt idx="49">
                  <c:v>6864</c:v>
                </c:pt>
                <c:pt idx="50">
                  <c:v>7154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4-478F-8166-6FCBBCF6B021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Droite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Feuil1!$C$2:$C$52</c:f>
              <c:numCache>
                <c:formatCode>General</c:formatCode>
                <c:ptCount val="51"/>
                <c:pt idx="0">
                  <c:v>-1871</c:v>
                </c:pt>
                <c:pt idx="1">
                  <c:v>-1728</c:v>
                </c:pt>
                <c:pt idx="2">
                  <c:v>-1585</c:v>
                </c:pt>
                <c:pt idx="3">
                  <c:v>-1442</c:v>
                </c:pt>
                <c:pt idx="4">
                  <c:v>-1299</c:v>
                </c:pt>
                <c:pt idx="5">
                  <c:v>-1156</c:v>
                </c:pt>
                <c:pt idx="6">
                  <c:v>-1013</c:v>
                </c:pt>
                <c:pt idx="7">
                  <c:v>-870</c:v>
                </c:pt>
                <c:pt idx="8">
                  <c:v>-727</c:v>
                </c:pt>
                <c:pt idx="9">
                  <c:v>-584</c:v>
                </c:pt>
                <c:pt idx="10">
                  <c:v>-441</c:v>
                </c:pt>
                <c:pt idx="11">
                  <c:v>-298</c:v>
                </c:pt>
                <c:pt idx="12">
                  <c:v>-155</c:v>
                </c:pt>
                <c:pt idx="13">
                  <c:v>-12</c:v>
                </c:pt>
                <c:pt idx="14">
                  <c:v>131</c:v>
                </c:pt>
                <c:pt idx="15">
                  <c:v>274</c:v>
                </c:pt>
                <c:pt idx="16">
                  <c:v>417</c:v>
                </c:pt>
                <c:pt idx="17">
                  <c:v>560</c:v>
                </c:pt>
                <c:pt idx="18">
                  <c:v>703</c:v>
                </c:pt>
                <c:pt idx="19">
                  <c:v>846</c:v>
                </c:pt>
                <c:pt idx="20">
                  <c:v>989</c:v>
                </c:pt>
                <c:pt idx="21">
                  <c:v>1132</c:v>
                </c:pt>
                <c:pt idx="22">
                  <c:v>1275</c:v>
                </c:pt>
                <c:pt idx="23">
                  <c:v>1418</c:v>
                </c:pt>
                <c:pt idx="24">
                  <c:v>1561</c:v>
                </c:pt>
                <c:pt idx="25">
                  <c:v>1704</c:v>
                </c:pt>
                <c:pt idx="26">
                  <c:v>1847</c:v>
                </c:pt>
                <c:pt idx="27">
                  <c:v>1990</c:v>
                </c:pt>
                <c:pt idx="28">
                  <c:v>2133</c:v>
                </c:pt>
                <c:pt idx="29">
                  <c:v>2276</c:v>
                </c:pt>
                <c:pt idx="30">
                  <c:v>2419</c:v>
                </c:pt>
                <c:pt idx="31">
                  <c:v>2562</c:v>
                </c:pt>
                <c:pt idx="32">
                  <c:v>2705</c:v>
                </c:pt>
                <c:pt idx="33">
                  <c:v>2848</c:v>
                </c:pt>
                <c:pt idx="34">
                  <c:v>2991</c:v>
                </c:pt>
                <c:pt idx="35">
                  <c:v>3134</c:v>
                </c:pt>
                <c:pt idx="36">
                  <c:v>3277</c:v>
                </c:pt>
                <c:pt idx="37">
                  <c:v>3420</c:v>
                </c:pt>
                <c:pt idx="38">
                  <c:v>3563</c:v>
                </c:pt>
                <c:pt idx="39">
                  <c:v>3706</c:v>
                </c:pt>
                <c:pt idx="40">
                  <c:v>3849</c:v>
                </c:pt>
                <c:pt idx="41">
                  <c:v>3992</c:v>
                </c:pt>
                <c:pt idx="42">
                  <c:v>4135</c:v>
                </c:pt>
                <c:pt idx="43">
                  <c:v>4278</c:v>
                </c:pt>
                <c:pt idx="44">
                  <c:v>4421</c:v>
                </c:pt>
                <c:pt idx="45">
                  <c:v>4564</c:v>
                </c:pt>
                <c:pt idx="46">
                  <c:v>4707</c:v>
                </c:pt>
                <c:pt idx="47">
                  <c:v>4850</c:v>
                </c:pt>
                <c:pt idx="48">
                  <c:v>4993</c:v>
                </c:pt>
                <c:pt idx="49">
                  <c:v>5136</c:v>
                </c:pt>
                <c:pt idx="50">
                  <c:v>5279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4-478F-8166-6FCBBCF6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733936"/>
        <c:axId val="429733456"/>
      </c:scatterChart>
      <c:valAx>
        <c:axId val="42973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733456"/>
        <c:crosses val="autoZero"/>
        <c:crossBetween val="midCat"/>
      </c:valAx>
      <c:valAx>
        <c:axId val="4297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973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0</xdr:row>
      <xdr:rowOff>152400</xdr:rowOff>
    </xdr:from>
    <xdr:to>
      <xdr:col>16</xdr:col>
      <xdr:colOff>76199</xdr:colOff>
      <xdr:row>33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C7DE2D8-D9CD-C36E-185B-8577426C1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2</xdr:row>
      <xdr:rowOff>257175</xdr:rowOff>
    </xdr:from>
    <xdr:to>
      <xdr:col>6</xdr:col>
      <xdr:colOff>466725</xdr:colOff>
      <xdr:row>2</xdr:row>
      <xdr:rowOff>771525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84AEED13-840E-A014-760D-E58D37AD748C}"/>
            </a:ext>
          </a:extLst>
        </xdr:cNvPr>
        <xdr:cNvCxnSpPr/>
      </xdr:nvCxnSpPr>
      <xdr:spPr>
        <a:xfrm>
          <a:off x="1895475" y="638175"/>
          <a:ext cx="3857625" cy="514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447675</xdr:colOff>
      <xdr:row>2</xdr:row>
      <xdr:rowOff>114300</xdr:rowOff>
    </xdr:from>
    <xdr:to>
      <xdr:col>15</xdr:col>
      <xdr:colOff>476250</xdr:colOff>
      <xdr:row>2</xdr:row>
      <xdr:rowOff>800100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F0DA4A23-85A9-415A-AA58-00E2748A8FD9}"/>
            </a:ext>
          </a:extLst>
        </xdr:cNvPr>
        <xdr:cNvCxnSpPr/>
      </xdr:nvCxnSpPr>
      <xdr:spPr>
        <a:xfrm flipV="1">
          <a:off x="8782050" y="495300"/>
          <a:ext cx="3838575" cy="685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51295</xdr:colOff>
      <xdr:row>10</xdr:row>
      <xdr:rowOff>193191</xdr:rowOff>
    </xdr:from>
    <xdr:to>
      <xdr:col>6</xdr:col>
      <xdr:colOff>76200</xdr:colOff>
      <xdr:row>10</xdr:row>
      <xdr:rowOff>983766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A302D0B7-9E7F-44D5-9D04-EB0EB76C6693}"/>
            </a:ext>
          </a:extLst>
        </xdr:cNvPr>
        <xdr:cNvCxnSpPr>
          <a:stCxn id="10" idx="3"/>
          <a:endCxn id="11" idx="1"/>
        </xdr:cNvCxnSpPr>
      </xdr:nvCxnSpPr>
      <xdr:spPr>
        <a:xfrm>
          <a:off x="3127870" y="4155591"/>
          <a:ext cx="3072905" cy="790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51295</xdr:colOff>
      <xdr:row>10</xdr:row>
      <xdr:rowOff>183666</xdr:rowOff>
    </xdr:from>
    <xdr:to>
      <xdr:col>15</xdr:col>
      <xdr:colOff>66675</xdr:colOff>
      <xdr:row>10</xdr:row>
      <xdr:rowOff>1059966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2E3F406D-6522-45E2-BBE2-B7B40480FEC3}"/>
            </a:ext>
          </a:extLst>
        </xdr:cNvPr>
        <xdr:cNvCxnSpPr>
          <a:stCxn id="15" idx="3"/>
          <a:endCxn id="16" idx="1"/>
        </xdr:cNvCxnSpPr>
      </xdr:nvCxnSpPr>
      <xdr:spPr>
        <a:xfrm flipV="1">
          <a:off x="11309845" y="4146066"/>
          <a:ext cx="3063380" cy="876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180975</xdr:colOff>
      <xdr:row>10</xdr:row>
      <xdr:rowOff>200025</xdr:rowOff>
    </xdr:from>
    <xdr:ext cx="184731" cy="264560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1A8FB9F7-1D09-5B7F-AFDB-0E64B9D2717A}"/>
            </a:ext>
          </a:extLst>
        </xdr:cNvPr>
        <xdr:cNvSpPr txBox="1"/>
      </xdr:nvSpPr>
      <xdr:spPr>
        <a:xfrm>
          <a:off x="2762250" y="4162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oneCellAnchor>
    <xdr:from>
      <xdr:col>1</xdr:col>
      <xdr:colOff>9525</xdr:colOff>
      <xdr:row>9</xdr:row>
      <xdr:rowOff>323850</xdr:rowOff>
    </xdr:from>
    <xdr:ext cx="537070" cy="405432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7EE7E0DC-E4D3-570F-BEB5-4B98657189E2}"/>
            </a:ext>
          </a:extLst>
        </xdr:cNvPr>
        <xdr:cNvSpPr txBox="1"/>
      </xdr:nvSpPr>
      <xdr:spPr>
        <a:xfrm>
          <a:off x="2590800" y="3952875"/>
          <a:ext cx="5370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/>
            <a:t>f(a)</a:t>
          </a:r>
        </a:p>
      </xdr:txBody>
    </xdr:sp>
    <xdr:clientData/>
  </xdr:oneCellAnchor>
  <xdr:oneCellAnchor>
    <xdr:from>
      <xdr:col>6</xdr:col>
      <xdr:colOff>76200</xdr:colOff>
      <xdr:row>10</xdr:row>
      <xdr:rowOff>781050</xdr:rowOff>
    </xdr:from>
    <xdr:ext cx="543995" cy="405432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9C894CBB-B535-4B7E-8066-F33B9E8336E7}"/>
            </a:ext>
          </a:extLst>
        </xdr:cNvPr>
        <xdr:cNvSpPr txBox="1"/>
      </xdr:nvSpPr>
      <xdr:spPr>
        <a:xfrm>
          <a:off x="6200775" y="4743450"/>
          <a:ext cx="54399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/>
            <a:t>f(b)</a:t>
          </a:r>
        </a:p>
      </xdr:txBody>
    </xdr:sp>
    <xdr:clientData/>
  </xdr:oneCellAnchor>
  <xdr:oneCellAnchor>
    <xdr:from>
      <xdr:col>3</xdr:col>
      <xdr:colOff>457200</xdr:colOff>
      <xdr:row>10</xdr:row>
      <xdr:rowOff>352425</xdr:rowOff>
    </xdr:from>
    <xdr:ext cx="299506" cy="405432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7E298D0C-AEF5-4322-9906-1BF5CFE42ABB}"/>
            </a:ext>
          </a:extLst>
        </xdr:cNvPr>
        <xdr:cNvSpPr txBox="1"/>
      </xdr:nvSpPr>
      <xdr:spPr>
        <a:xfrm>
          <a:off x="4295775" y="4314825"/>
          <a:ext cx="29950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/>
            <a:t>k</a:t>
          </a:r>
        </a:p>
      </xdr:txBody>
    </xdr:sp>
    <xdr:clientData/>
  </xdr:oneCellAnchor>
  <xdr:oneCellAnchor>
    <xdr:from>
      <xdr:col>10</xdr:col>
      <xdr:colOff>9525</xdr:colOff>
      <xdr:row>10</xdr:row>
      <xdr:rowOff>857250</xdr:rowOff>
    </xdr:from>
    <xdr:ext cx="537070" cy="405432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8047A691-312B-4FF4-BA02-4014719E2470}"/>
            </a:ext>
          </a:extLst>
        </xdr:cNvPr>
        <xdr:cNvSpPr txBox="1"/>
      </xdr:nvSpPr>
      <xdr:spPr>
        <a:xfrm>
          <a:off x="10772775" y="4819650"/>
          <a:ext cx="5370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/>
            <a:t>f(a)</a:t>
          </a:r>
        </a:p>
      </xdr:txBody>
    </xdr:sp>
    <xdr:clientData/>
  </xdr:oneCellAnchor>
  <xdr:oneCellAnchor>
    <xdr:from>
      <xdr:col>15</xdr:col>
      <xdr:colOff>66675</xdr:colOff>
      <xdr:row>9</xdr:row>
      <xdr:rowOff>314325</xdr:rowOff>
    </xdr:from>
    <xdr:ext cx="543995" cy="405432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306886BD-8BA5-448C-AA03-92E4AD2DC649}"/>
            </a:ext>
          </a:extLst>
        </xdr:cNvPr>
        <xdr:cNvSpPr txBox="1"/>
      </xdr:nvSpPr>
      <xdr:spPr>
        <a:xfrm>
          <a:off x="14373225" y="3943350"/>
          <a:ext cx="54399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/>
            <a:t>f(b)</a:t>
          </a:r>
        </a:p>
      </xdr:txBody>
    </xdr:sp>
    <xdr:clientData/>
  </xdr:oneCellAnchor>
  <xdr:oneCellAnchor>
    <xdr:from>
      <xdr:col>12</xdr:col>
      <xdr:colOff>689470</xdr:colOff>
      <xdr:row>10</xdr:row>
      <xdr:rowOff>412266</xdr:rowOff>
    </xdr:from>
    <xdr:ext cx="299506" cy="405432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F59BF775-046C-4759-A246-B4BD8AB79E7C}"/>
            </a:ext>
          </a:extLst>
        </xdr:cNvPr>
        <xdr:cNvSpPr txBox="1"/>
      </xdr:nvSpPr>
      <xdr:spPr>
        <a:xfrm>
          <a:off x="12710020" y="4374666"/>
          <a:ext cx="29950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/>
            <a:t>k</a:t>
          </a:r>
        </a:p>
      </xdr:txBody>
    </xdr:sp>
    <xdr:clientData/>
  </xdr:oneCellAnchor>
  <xdr:twoCellAnchor>
    <xdr:from>
      <xdr:col>11</xdr:col>
      <xdr:colOff>485775</xdr:colOff>
      <xdr:row>20</xdr:row>
      <xdr:rowOff>183666</xdr:rowOff>
    </xdr:from>
    <xdr:to>
      <xdr:col>15</xdr:col>
      <xdr:colOff>66675</xdr:colOff>
      <xdr:row>20</xdr:row>
      <xdr:rowOff>1219200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00128881-E965-4430-957B-2A9A64CC761C}"/>
            </a:ext>
          </a:extLst>
        </xdr:cNvPr>
        <xdr:cNvCxnSpPr>
          <a:endCxn id="24" idx="1"/>
        </xdr:cNvCxnSpPr>
      </xdr:nvCxnSpPr>
      <xdr:spPr>
        <a:xfrm flipV="1">
          <a:off x="11744325" y="8441841"/>
          <a:ext cx="2628900" cy="10355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9525</xdr:colOff>
      <xdr:row>20</xdr:row>
      <xdr:rowOff>857250</xdr:rowOff>
    </xdr:from>
    <xdr:ext cx="184731" cy="405432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9EA20561-CFF3-491A-8497-264EDF7F5460}"/>
            </a:ext>
          </a:extLst>
        </xdr:cNvPr>
        <xdr:cNvSpPr txBox="1"/>
      </xdr:nvSpPr>
      <xdr:spPr>
        <a:xfrm>
          <a:off x="10772775" y="911542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2000"/>
        </a:p>
      </xdr:txBody>
    </xdr:sp>
    <xdr:clientData/>
  </xdr:oneCellAnchor>
  <xdr:oneCellAnchor>
    <xdr:from>
      <xdr:col>15</xdr:col>
      <xdr:colOff>66675</xdr:colOff>
      <xdr:row>19</xdr:row>
      <xdr:rowOff>314325</xdr:rowOff>
    </xdr:from>
    <xdr:ext cx="533159" cy="405432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C5B571F3-7328-4837-9E56-B31B68CE70BC}"/>
            </a:ext>
          </a:extLst>
        </xdr:cNvPr>
        <xdr:cNvSpPr txBox="1"/>
      </xdr:nvSpPr>
      <xdr:spPr>
        <a:xfrm>
          <a:off x="14373225" y="8239125"/>
          <a:ext cx="53315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/>
            <a:t>+ ∞</a:t>
          </a:r>
        </a:p>
      </xdr:txBody>
    </xdr:sp>
    <xdr:clientData/>
  </xdr:oneCellAnchor>
  <xdr:oneCellAnchor>
    <xdr:from>
      <xdr:col>12</xdr:col>
      <xdr:colOff>689470</xdr:colOff>
      <xdr:row>20</xdr:row>
      <xdr:rowOff>412266</xdr:rowOff>
    </xdr:from>
    <xdr:ext cx="184731" cy="405432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A3D5DC11-118A-4936-ADB1-68FBA34B4592}"/>
            </a:ext>
          </a:extLst>
        </xdr:cNvPr>
        <xdr:cNvSpPr txBox="1"/>
      </xdr:nvSpPr>
      <xdr:spPr>
        <a:xfrm>
          <a:off x="12710020" y="867044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2000"/>
        </a:p>
      </xdr:txBody>
    </xdr:sp>
    <xdr:clientData/>
  </xdr:oneCellAnchor>
  <xdr:twoCellAnchor>
    <xdr:from>
      <xdr:col>10</xdr:col>
      <xdr:colOff>171450</xdr:colOff>
      <xdr:row>19</xdr:row>
      <xdr:rowOff>47625</xdr:rowOff>
    </xdr:from>
    <xdr:to>
      <xdr:col>10</xdr:col>
      <xdr:colOff>190500</xdr:colOff>
      <xdr:row>20</xdr:row>
      <xdr:rowOff>1514475</xdr:rowOff>
    </xdr:to>
    <xdr:cxnSp macro="">
      <xdr:nvCxnSpPr>
        <xdr:cNvPr id="27" name="Connecteur droit 26">
          <a:extLst>
            <a:ext uri="{FF2B5EF4-FFF2-40B4-BE49-F238E27FC236}">
              <a16:creationId xmlns:a16="http://schemas.microsoft.com/office/drawing/2014/main" id="{953EF4C0-F168-4336-5026-EDCECDC71649}"/>
            </a:ext>
          </a:extLst>
        </xdr:cNvPr>
        <xdr:cNvCxnSpPr/>
      </xdr:nvCxnSpPr>
      <xdr:spPr>
        <a:xfrm>
          <a:off x="10934700" y="7972425"/>
          <a:ext cx="19050" cy="1800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285750</xdr:colOff>
      <xdr:row>19</xdr:row>
      <xdr:rowOff>47625</xdr:rowOff>
    </xdr:from>
    <xdr:to>
      <xdr:col>10</xdr:col>
      <xdr:colOff>304800</xdr:colOff>
      <xdr:row>20</xdr:row>
      <xdr:rowOff>1485900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E1B38BB3-B523-CE7F-D3DA-10D9AB0F0C93}"/>
            </a:ext>
          </a:extLst>
        </xdr:cNvPr>
        <xdr:cNvCxnSpPr/>
      </xdr:nvCxnSpPr>
      <xdr:spPr>
        <a:xfrm>
          <a:off x="11049000" y="7972425"/>
          <a:ext cx="19050" cy="1771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20</xdr:row>
      <xdr:rowOff>1104900</xdr:rowOff>
    </xdr:from>
    <xdr:to>
      <xdr:col>11</xdr:col>
      <xdr:colOff>247650</xdr:colOff>
      <xdr:row>20</xdr:row>
      <xdr:rowOff>1552574</xdr:rowOff>
    </xdr:to>
    <xdr:sp macro="" textlink="">
      <xdr:nvSpPr>
        <xdr:cNvPr id="3763" name="Text Box 691">
          <a:extLst>
            <a:ext uri="{FF2B5EF4-FFF2-40B4-BE49-F238E27FC236}">
              <a16:creationId xmlns:a16="http://schemas.microsoft.com/office/drawing/2014/main" id="{530078FE-BE66-3636-E6C1-8B955618317F}"/>
            </a:ext>
          </a:extLst>
        </xdr:cNvPr>
        <xdr:cNvSpPr txBox="1">
          <a:spLocks noChangeArrowheads="1"/>
        </xdr:cNvSpPr>
      </xdr:nvSpPr>
      <xdr:spPr bwMode="auto">
        <a:xfrm>
          <a:off x="11096625" y="9363075"/>
          <a:ext cx="409575" cy="4476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fr-FR" sz="2000" b="0" i="0" u="none" strike="noStrike" baseline="0">
              <a:solidFill>
                <a:srgbClr val="000000"/>
              </a:solidFill>
              <a:latin typeface="Aptos Narrow"/>
            </a:rPr>
            <a:t>- ∞</a:t>
          </a:r>
        </a:p>
      </xdr:txBody>
    </xdr:sp>
    <xdr:clientData/>
  </xdr:twoCellAnchor>
  <xdr:twoCellAnchor>
    <xdr:from>
      <xdr:col>11</xdr:col>
      <xdr:colOff>76200</xdr:colOff>
      <xdr:row>26</xdr:row>
      <xdr:rowOff>183666</xdr:rowOff>
    </xdr:from>
    <xdr:to>
      <xdr:col>15</xdr:col>
      <xdr:colOff>66675</xdr:colOff>
      <xdr:row>26</xdr:row>
      <xdr:rowOff>1338262</xdr:rowOff>
    </xdr:to>
    <xdr:cxnSp macro="">
      <xdr:nvCxnSpPr>
        <xdr:cNvPr id="32" name="Connecteur droit avec flèche 31">
          <a:extLst>
            <a:ext uri="{FF2B5EF4-FFF2-40B4-BE49-F238E27FC236}">
              <a16:creationId xmlns:a16="http://schemas.microsoft.com/office/drawing/2014/main" id="{DCE4CB30-292C-4573-8FCC-95A6390989CC}"/>
            </a:ext>
          </a:extLst>
        </xdr:cNvPr>
        <xdr:cNvCxnSpPr>
          <a:stCxn id="38" idx="3"/>
          <a:endCxn id="34" idx="1"/>
        </xdr:cNvCxnSpPr>
      </xdr:nvCxnSpPr>
      <xdr:spPr>
        <a:xfrm flipV="1">
          <a:off x="11334750" y="11775591"/>
          <a:ext cx="3038475" cy="11545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9525</xdr:colOff>
      <xdr:row>26</xdr:row>
      <xdr:rowOff>857250</xdr:rowOff>
    </xdr:from>
    <xdr:ext cx="184731" cy="405432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24A7C407-29FE-42D2-8B45-843D507D6D93}"/>
            </a:ext>
          </a:extLst>
        </xdr:cNvPr>
        <xdr:cNvSpPr txBox="1"/>
      </xdr:nvSpPr>
      <xdr:spPr>
        <a:xfrm>
          <a:off x="10772775" y="911542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2000"/>
        </a:p>
      </xdr:txBody>
    </xdr:sp>
    <xdr:clientData/>
  </xdr:oneCellAnchor>
  <xdr:oneCellAnchor>
    <xdr:from>
      <xdr:col>15</xdr:col>
      <xdr:colOff>66675</xdr:colOff>
      <xdr:row>25</xdr:row>
      <xdr:rowOff>314325</xdr:rowOff>
    </xdr:from>
    <xdr:ext cx="533159" cy="405432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F217453B-2429-46CD-ABF1-FD11E2DC8ACB}"/>
            </a:ext>
          </a:extLst>
        </xdr:cNvPr>
        <xdr:cNvSpPr txBox="1"/>
      </xdr:nvSpPr>
      <xdr:spPr>
        <a:xfrm>
          <a:off x="14373225" y="8239125"/>
          <a:ext cx="53315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2000"/>
            <a:t>+ ∞</a:t>
          </a:r>
        </a:p>
      </xdr:txBody>
    </xdr:sp>
    <xdr:clientData/>
  </xdr:oneCellAnchor>
  <xdr:oneCellAnchor>
    <xdr:from>
      <xdr:col>12</xdr:col>
      <xdr:colOff>689470</xdr:colOff>
      <xdr:row>26</xdr:row>
      <xdr:rowOff>412266</xdr:rowOff>
    </xdr:from>
    <xdr:ext cx="184731" cy="405432"/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A1AB36D5-ED8F-4A8B-BC8F-6C095166D936}"/>
            </a:ext>
          </a:extLst>
        </xdr:cNvPr>
        <xdr:cNvSpPr txBox="1"/>
      </xdr:nvSpPr>
      <xdr:spPr>
        <a:xfrm>
          <a:off x="12710020" y="867044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2000"/>
        </a:p>
      </xdr:txBody>
    </xdr:sp>
    <xdr:clientData/>
  </xdr:oneCellAnchor>
  <xdr:twoCellAnchor>
    <xdr:from>
      <xdr:col>10</xdr:col>
      <xdr:colOff>161925</xdr:colOff>
      <xdr:row>26</xdr:row>
      <xdr:rowOff>1114425</xdr:rowOff>
    </xdr:from>
    <xdr:to>
      <xdr:col>11</xdr:col>
      <xdr:colOff>76200</xdr:colOff>
      <xdr:row>26</xdr:row>
      <xdr:rowOff>1562099</xdr:rowOff>
    </xdr:to>
    <xdr:sp macro="" textlink="">
      <xdr:nvSpPr>
        <xdr:cNvPr id="38" name="Text Box 691">
          <a:extLst>
            <a:ext uri="{FF2B5EF4-FFF2-40B4-BE49-F238E27FC236}">
              <a16:creationId xmlns:a16="http://schemas.microsoft.com/office/drawing/2014/main" id="{1F1EAE84-D350-4158-8159-FB033DEA4981}"/>
            </a:ext>
          </a:extLst>
        </xdr:cNvPr>
        <xdr:cNvSpPr txBox="1">
          <a:spLocks noChangeArrowheads="1"/>
        </xdr:cNvSpPr>
      </xdr:nvSpPr>
      <xdr:spPr bwMode="auto">
        <a:xfrm>
          <a:off x="10925175" y="12706350"/>
          <a:ext cx="409575" cy="44767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fr-FR" sz="2000" b="0" i="0" u="none" strike="noStrike" baseline="0">
              <a:solidFill>
                <a:srgbClr val="000000"/>
              </a:solidFill>
              <a:latin typeface="Aptos Narrow"/>
            </a:rPr>
            <a:t>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2</xdr:row>
      <xdr:rowOff>257175</xdr:rowOff>
    </xdr:from>
    <xdr:to>
      <xdr:col>3</xdr:col>
      <xdr:colOff>419100</xdr:colOff>
      <xdr:row>2</xdr:row>
      <xdr:rowOff>1200150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D0A8A4E5-5048-437F-A8D8-7469FABC8065}"/>
            </a:ext>
          </a:extLst>
        </xdr:cNvPr>
        <xdr:cNvCxnSpPr/>
      </xdr:nvCxnSpPr>
      <xdr:spPr>
        <a:xfrm>
          <a:off x="3095625" y="923925"/>
          <a:ext cx="1524000" cy="942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2</xdr:row>
      <xdr:rowOff>704850</xdr:rowOff>
    </xdr:from>
    <xdr:to>
      <xdr:col>5</xdr:col>
      <xdr:colOff>133350</xdr:colOff>
      <xdr:row>2</xdr:row>
      <xdr:rowOff>1171575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023ED19B-B3B7-4970-B469-3422DFD482CD}"/>
            </a:ext>
          </a:extLst>
        </xdr:cNvPr>
        <xdr:cNvCxnSpPr/>
      </xdr:nvCxnSpPr>
      <xdr:spPr>
        <a:xfrm flipV="1">
          <a:off x="4781550" y="1371600"/>
          <a:ext cx="847725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733425</xdr:colOff>
      <xdr:row>2</xdr:row>
      <xdr:rowOff>200025</xdr:rowOff>
    </xdr:from>
    <xdr:to>
      <xdr:col>7</xdr:col>
      <xdr:colOff>19050</xdr:colOff>
      <xdr:row>2</xdr:row>
      <xdr:rowOff>638175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A7294985-28C9-4B88-AFC0-EA8885F30AA5}"/>
            </a:ext>
          </a:extLst>
        </xdr:cNvPr>
        <xdr:cNvCxnSpPr/>
      </xdr:nvCxnSpPr>
      <xdr:spPr>
        <a:xfrm flipV="1">
          <a:off x="6229350" y="866775"/>
          <a:ext cx="809625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2</xdr:row>
      <xdr:rowOff>200025</xdr:rowOff>
    </xdr:from>
    <xdr:to>
      <xdr:col>9</xdr:col>
      <xdr:colOff>209550</xdr:colOff>
      <xdr:row>2</xdr:row>
      <xdr:rowOff>1209675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48F6E509-03C3-42BE-874E-530C95E9AD9F}"/>
            </a:ext>
          </a:extLst>
        </xdr:cNvPr>
        <xdr:cNvCxnSpPr/>
      </xdr:nvCxnSpPr>
      <xdr:spPr>
        <a:xfrm>
          <a:off x="7820025" y="866775"/>
          <a:ext cx="933450" cy="1009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2</xdr:row>
      <xdr:rowOff>190500</xdr:rowOff>
    </xdr:from>
    <xdr:to>
      <xdr:col>11</xdr:col>
      <xdr:colOff>104775</xdr:colOff>
      <xdr:row>2</xdr:row>
      <xdr:rowOff>1171575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9A34CC7C-14DF-482E-A7BF-238358BC8DCB}"/>
            </a:ext>
          </a:extLst>
        </xdr:cNvPr>
        <xdr:cNvCxnSpPr/>
      </xdr:nvCxnSpPr>
      <xdr:spPr>
        <a:xfrm flipV="1">
          <a:off x="9372600" y="857250"/>
          <a:ext cx="800100" cy="981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F25F-0999-4ED0-93F9-C87EA74C15F3}">
  <dimension ref="A1:E52"/>
  <sheetViews>
    <sheetView workbookViewId="0">
      <selection activeCell="B2" sqref="B2"/>
    </sheetView>
  </sheetViews>
  <sheetFormatPr baseColWidth="10" defaultRowHeight="15" x14ac:dyDescent="0.25"/>
  <sheetData>
    <row r="1" spans="1:5" x14ac:dyDescent="0.25">
      <c r="B1" t="s">
        <v>0</v>
      </c>
      <c r="C1" t="s">
        <v>2</v>
      </c>
      <c r="E1" t="s">
        <v>1</v>
      </c>
    </row>
    <row r="2" spans="1:5" x14ac:dyDescent="0.25">
      <c r="A2">
        <v>0</v>
      </c>
      <c r="B2">
        <f>3*A2^2 - 7 * A2 + 4</f>
        <v>4</v>
      </c>
      <c r="C2">
        <f>143*A2-1871</f>
        <v>-1871</v>
      </c>
      <c r="E2">
        <f>6*A2-7</f>
        <v>-7</v>
      </c>
    </row>
    <row r="3" spans="1:5" x14ac:dyDescent="0.25">
      <c r="A3">
        <v>1</v>
      </c>
      <c r="B3">
        <f t="shared" ref="B3:B52" si="0">3*A3^2 - 7 * A3 + 4</f>
        <v>0</v>
      </c>
      <c r="C3">
        <f t="shared" ref="C3:C52" si="1">143*A3-1871</f>
        <v>-1728</v>
      </c>
      <c r="E3">
        <f t="shared" ref="E3:E52" si="2">6*A3-7</f>
        <v>-1</v>
      </c>
    </row>
    <row r="4" spans="1:5" x14ac:dyDescent="0.25">
      <c r="A4">
        <v>2</v>
      </c>
      <c r="B4">
        <f t="shared" si="0"/>
        <v>2</v>
      </c>
      <c r="C4">
        <f t="shared" si="1"/>
        <v>-1585</v>
      </c>
      <c r="E4">
        <f t="shared" si="2"/>
        <v>5</v>
      </c>
    </row>
    <row r="5" spans="1:5" x14ac:dyDescent="0.25">
      <c r="A5">
        <v>3</v>
      </c>
      <c r="B5">
        <f t="shared" si="0"/>
        <v>10</v>
      </c>
      <c r="C5">
        <f t="shared" si="1"/>
        <v>-1442</v>
      </c>
      <c r="E5">
        <f t="shared" si="2"/>
        <v>11</v>
      </c>
    </row>
    <row r="6" spans="1:5" x14ac:dyDescent="0.25">
      <c r="A6">
        <v>4</v>
      </c>
      <c r="B6">
        <f t="shared" si="0"/>
        <v>24</v>
      </c>
      <c r="C6">
        <f t="shared" si="1"/>
        <v>-1299</v>
      </c>
      <c r="E6">
        <f t="shared" si="2"/>
        <v>17</v>
      </c>
    </row>
    <row r="7" spans="1:5" x14ac:dyDescent="0.25">
      <c r="A7">
        <v>5</v>
      </c>
      <c r="B7">
        <f t="shared" si="0"/>
        <v>44</v>
      </c>
      <c r="C7">
        <f t="shared" si="1"/>
        <v>-1156</v>
      </c>
      <c r="E7">
        <f t="shared" si="2"/>
        <v>23</v>
      </c>
    </row>
    <row r="8" spans="1:5" x14ac:dyDescent="0.25">
      <c r="A8">
        <v>6</v>
      </c>
      <c r="B8">
        <f t="shared" si="0"/>
        <v>70</v>
      </c>
      <c r="C8">
        <f t="shared" si="1"/>
        <v>-1013</v>
      </c>
      <c r="E8">
        <f t="shared" si="2"/>
        <v>29</v>
      </c>
    </row>
    <row r="9" spans="1:5" x14ac:dyDescent="0.25">
      <c r="A9">
        <v>7</v>
      </c>
      <c r="B9">
        <f t="shared" si="0"/>
        <v>102</v>
      </c>
      <c r="C9">
        <f t="shared" si="1"/>
        <v>-870</v>
      </c>
      <c r="E9">
        <f t="shared" si="2"/>
        <v>35</v>
      </c>
    </row>
    <row r="10" spans="1:5" x14ac:dyDescent="0.25">
      <c r="A10">
        <v>8</v>
      </c>
      <c r="B10">
        <f t="shared" si="0"/>
        <v>140</v>
      </c>
      <c r="C10">
        <f t="shared" si="1"/>
        <v>-727</v>
      </c>
      <c r="E10">
        <f t="shared" si="2"/>
        <v>41</v>
      </c>
    </row>
    <row r="11" spans="1:5" x14ac:dyDescent="0.25">
      <c r="A11">
        <v>9</v>
      </c>
      <c r="B11">
        <f t="shared" si="0"/>
        <v>184</v>
      </c>
      <c r="C11">
        <f t="shared" si="1"/>
        <v>-584</v>
      </c>
      <c r="E11">
        <f t="shared" si="2"/>
        <v>47</v>
      </c>
    </row>
    <row r="12" spans="1:5" x14ac:dyDescent="0.25">
      <c r="A12">
        <v>10</v>
      </c>
      <c r="B12">
        <f t="shared" si="0"/>
        <v>234</v>
      </c>
      <c r="C12">
        <f t="shared" si="1"/>
        <v>-441</v>
      </c>
      <c r="E12">
        <f t="shared" si="2"/>
        <v>53</v>
      </c>
    </row>
    <row r="13" spans="1:5" x14ac:dyDescent="0.25">
      <c r="A13">
        <v>11</v>
      </c>
      <c r="B13">
        <f t="shared" si="0"/>
        <v>290</v>
      </c>
      <c r="C13">
        <f t="shared" si="1"/>
        <v>-298</v>
      </c>
      <c r="E13">
        <f t="shared" si="2"/>
        <v>59</v>
      </c>
    </row>
    <row r="14" spans="1:5" x14ac:dyDescent="0.25">
      <c r="A14">
        <v>12</v>
      </c>
      <c r="B14">
        <f t="shared" si="0"/>
        <v>352</v>
      </c>
      <c r="C14">
        <f t="shared" si="1"/>
        <v>-155</v>
      </c>
      <c r="E14">
        <f t="shared" si="2"/>
        <v>65</v>
      </c>
    </row>
    <row r="15" spans="1:5" x14ac:dyDescent="0.25">
      <c r="A15">
        <v>13</v>
      </c>
      <c r="B15">
        <f t="shared" si="0"/>
        <v>420</v>
      </c>
      <c r="C15">
        <f t="shared" si="1"/>
        <v>-12</v>
      </c>
      <c r="E15">
        <f t="shared" si="2"/>
        <v>71</v>
      </c>
    </row>
    <row r="16" spans="1:5" x14ac:dyDescent="0.25">
      <c r="A16">
        <v>14</v>
      </c>
      <c r="B16">
        <f t="shared" si="0"/>
        <v>494</v>
      </c>
      <c r="C16">
        <f t="shared" si="1"/>
        <v>131</v>
      </c>
      <c r="E16">
        <f t="shared" si="2"/>
        <v>77</v>
      </c>
    </row>
    <row r="17" spans="1:5" x14ac:dyDescent="0.25">
      <c r="A17">
        <v>15</v>
      </c>
      <c r="B17">
        <f t="shared" si="0"/>
        <v>574</v>
      </c>
      <c r="C17">
        <f t="shared" si="1"/>
        <v>274</v>
      </c>
      <c r="E17">
        <f t="shared" si="2"/>
        <v>83</v>
      </c>
    </row>
    <row r="18" spans="1:5" x14ac:dyDescent="0.25">
      <c r="A18">
        <v>16</v>
      </c>
      <c r="B18">
        <f t="shared" si="0"/>
        <v>660</v>
      </c>
      <c r="C18">
        <f t="shared" si="1"/>
        <v>417</v>
      </c>
      <c r="E18">
        <f t="shared" si="2"/>
        <v>89</v>
      </c>
    </row>
    <row r="19" spans="1:5" x14ac:dyDescent="0.25">
      <c r="A19">
        <v>17</v>
      </c>
      <c r="B19">
        <f t="shared" si="0"/>
        <v>752</v>
      </c>
      <c r="C19">
        <f t="shared" si="1"/>
        <v>560</v>
      </c>
      <c r="E19">
        <f t="shared" si="2"/>
        <v>95</v>
      </c>
    </row>
    <row r="20" spans="1:5" x14ac:dyDescent="0.25">
      <c r="A20">
        <v>18</v>
      </c>
      <c r="B20">
        <f t="shared" si="0"/>
        <v>850</v>
      </c>
      <c r="C20">
        <f t="shared" si="1"/>
        <v>703</v>
      </c>
      <c r="E20">
        <f t="shared" si="2"/>
        <v>101</v>
      </c>
    </row>
    <row r="21" spans="1:5" x14ac:dyDescent="0.25">
      <c r="A21">
        <v>19</v>
      </c>
      <c r="B21">
        <f t="shared" si="0"/>
        <v>954</v>
      </c>
      <c r="C21">
        <f t="shared" si="1"/>
        <v>846</v>
      </c>
      <c r="E21">
        <f t="shared" si="2"/>
        <v>107</v>
      </c>
    </row>
    <row r="22" spans="1:5" x14ac:dyDescent="0.25">
      <c r="A22">
        <v>20</v>
      </c>
      <c r="B22">
        <f t="shared" si="0"/>
        <v>1064</v>
      </c>
      <c r="C22">
        <f t="shared" si="1"/>
        <v>989</v>
      </c>
      <c r="E22">
        <f t="shared" si="2"/>
        <v>113</v>
      </c>
    </row>
    <row r="23" spans="1:5" x14ac:dyDescent="0.25">
      <c r="A23">
        <v>21</v>
      </c>
      <c r="B23">
        <f t="shared" si="0"/>
        <v>1180</v>
      </c>
      <c r="C23">
        <f t="shared" si="1"/>
        <v>1132</v>
      </c>
      <c r="E23">
        <f t="shared" si="2"/>
        <v>119</v>
      </c>
    </row>
    <row r="24" spans="1:5" x14ac:dyDescent="0.25">
      <c r="A24">
        <v>22</v>
      </c>
      <c r="B24">
        <f t="shared" si="0"/>
        <v>1302</v>
      </c>
      <c r="C24">
        <f t="shared" si="1"/>
        <v>1275</v>
      </c>
      <c r="E24">
        <f t="shared" si="2"/>
        <v>125</v>
      </c>
    </row>
    <row r="25" spans="1:5" x14ac:dyDescent="0.25">
      <c r="A25">
        <v>23</v>
      </c>
      <c r="B25">
        <f t="shared" si="0"/>
        <v>1430</v>
      </c>
      <c r="C25">
        <f t="shared" si="1"/>
        <v>1418</v>
      </c>
      <c r="E25">
        <f t="shared" si="2"/>
        <v>131</v>
      </c>
    </row>
    <row r="26" spans="1:5" x14ac:dyDescent="0.25">
      <c r="A26">
        <v>24</v>
      </c>
      <c r="B26">
        <f t="shared" si="0"/>
        <v>1564</v>
      </c>
      <c r="C26">
        <f t="shared" si="1"/>
        <v>1561</v>
      </c>
      <c r="E26">
        <f t="shared" si="2"/>
        <v>137</v>
      </c>
    </row>
    <row r="27" spans="1:5" x14ac:dyDescent="0.25">
      <c r="A27">
        <v>25</v>
      </c>
      <c r="B27">
        <f t="shared" si="0"/>
        <v>1704</v>
      </c>
      <c r="C27">
        <f t="shared" si="1"/>
        <v>1704</v>
      </c>
      <c r="E27" s="1">
        <f t="shared" si="2"/>
        <v>143</v>
      </c>
    </row>
    <row r="28" spans="1:5" x14ac:dyDescent="0.25">
      <c r="A28">
        <v>26</v>
      </c>
      <c r="B28">
        <f t="shared" si="0"/>
        <v>1850</v>
      </c>
      <c r="C28">
        <f t="shared" si="1"/>
        <v>1847</v>
      </c>
      <c r="E28">
        <f t="shared" si="2"/>
        <v>149</v>
      </c>
    </row>
    <row r="29" spans="1:5" x14ac:dyDescent="0.25">
      <c r="A29">
        <v>27</v>
      </c>
      <c r="B29">
        <f t="shared" si="0"/>
        <v>2002</v>
      </c>
      <c r="C29">
        <f t="shared" si="1"/>
        <v>1990</v>
      </c>
      <c r="E29">
        <f t="shared" si="2"/>
        <v>155</v>
      </c>
    </row>
    <row r="30" spans="1:5" x14ac:dyDescent="0.25">
      <c r="A30">
        <v>28</v>
      </c>
      <c r="B30">
        <f t="shared" si="0"/>
        <v>2160</v>
      </c>
      <c r="C30">
        <f t="shared" si="1"/>
        <v>2133</v>
      </c>
      <c r="E30">
        <f t="shared" si="2"/>
        <v>161</v>
      </c>
    </row>
    <row r="31" spans="1:5" x14ac:dyDescent="0.25">
      <c r="A31">
        <v>29</v>
      </c>
      <c r="B31">
        <f t="shared" si="0"/>
        <v>2324</v>
      </c>
      <c r="C31">
        <f t="shared" si="1"/>
        <v>2276</v>
      </c>
      <c r="E31">
        <f t="shared" si="2"/>
        <v>167</v>
      </c>
    </row>
    <row r="32" spans="1:5" x14ac:dyDescent="0.25">
      <c r="A32">
        <v>30</v>
      </c>
      <c r="B32">
        <f t="shared" si="0"/>
        <v>2494</v>
      </c>
      <c r="C32">
        <f t="shared" si="1"/>
        <v>2419</v>
      </c>
      <c r="E32">
        <f t="shared" si="2"/>
        <v>173</v>
      </c>
    </row>
    <row r="33" spans="1:5" x14ac:dyDescent="0.25">
      <c r="A33">
        <v>31</v>
      </c>
      <c r="B33">
        <f t="shared" si="0"/>
        <v>2670</v>
      </c>
      <c r="C33">
        <f t="shared" si="1"/>
        <v>2562</v>
      </c>
      <c r="E33">
        <f t="shared" si="2"/>
        <v>179</v>
      </c>
    </row>
    <row r="34" spans="1:5" x14ac:dyDescent="0.25">
      <c r="A34">
        <v>32</v>
      </c>
      <c r="B34">
        <f t="shared" si="0"/>
        <v>2852</v>
      </c>
      <c r="C34">
        <f t="shared" si="1"/>
        <v>2705</v>
      </c>
      <c r="E34">
        <f t="shared" si="2"/>
        <v>185</v>
      </c>
    </row>
    <row r="35" spans="1:5" x14ac:dyDescent="0.25">
      <c r="A35">
        <v>33</v>
      </c>
      <c r="B35">
        <f t="shared" si="0"/>
        <v>3040</v>
      </c>
      <c r="C35">
        <f t="shared" si="1"/>
        <v>2848</v>
      </c>
      <c r="E35">
        <f t="shared" si="2"/>
        <v>191</v>
      </c>
    </row>
    <row r="36" spans="1:5" x14ac:dyDescent="0.25">
      <c r="A36">
        <v>34</v>
      </c>
      <c r="B36">
        <f t="shared" si="0"/>
        <v>3234</v>
      </c>
      <c r="C36">
        <f t="shared" si="1"/>
        <v>2991</v>
      </c>
      <c r="E36">
        <f t="shared" si="2"/>
        <v>197</v>
      </c>
    </row>
    <row r="37" spans="1:5" x14ac:dyDescent="0.25">
      <c r="A37">
        <v>35</v>
      </c>
      <c r="B37">
        <f t="shared" si="0"/>
        <v>3434</v>
      </c>
      <c r="C37">
        <f t="shared" si="1"/>
        <v>3134</v>
      </c>
      <c r="E37">
        <f t="shared" si="2"/>
        <v>203</v>
      </c>
    </row>
    <row r="38" spans="1:5" x14ac:dyDescent="0.25">
      <c r="A38">
        <v>36</v>
      </c>
      <c r="B38">
        <f t="shared" si="0"/>
        <v>3640</v>
      </c>
      <c r="C38">
        <f t="shared" si="1"/>
        <v>3277</v>
      </c>
      <c r="E38">
        <f t="shared" si="2"/>
        <v>209</v>
      </c>
    </row>
    <row r="39" spans="1:5" x14ac:dyDescent="0.25">
      <c r="A39">
        <v>37</v>
      </c>
      <c r="B39">
        <f t="shared" si="0"/>
        <v>3852</v>
      </c>
      <c r="C39">
        <f t="shared" si="1"/>
        <v>3420</v>
      </c>
      <c r="E39">
        <f t="shared" si="2"/>
        <v>215</v>
      </c>
    </row>
    <row r="40" spans="1:5" x14ac:dyDescent="0.25">
      <c r="A40">
        <v>38</v>
      </c>
      <c r="B40">
        <f t="shared" si="0"/>
        <v>4070</v>
      </c>
      <c r="C40">
        <f t="shared" si="1"/>
        <v>3563</v>
      </c>
      <c r="E40">
        <f t="shared" si="2"/>
        <v>221</v>
      </c>
    </row>
    <row r="41" spans="1:5" x14ac:dyDescent="0.25">
      <c r="A41">
        <v>39</v>
      </c>
      <c r="B41">
        <f t="shared" si="0"/>
        <v>4294</v>
      </c>
      <c r="C41">
        <f t="shared" si="1"/>
        <v>3706</v>
      </c>
      <c r="E41">
        <f t="shared" si="2"/>
        <v>227</v>
      </c>
    </row>
    <row r="42" spans="1:5" x14ac:dyDescent="0.25">
      <c r="A42">
        <v>40</v>
      </c>
      <c r="B42">
        <f t="shared" si="0"/>
        <v>4524</v>
      </c>
      <c r="C42">
        <f t="shared" si="1"/>
        <v>3849</v>
      </c>
      <c r="E42">
        <f t="shared" si="2"/>
        <v>233</v>
      </c>
    </row>
    <row r="43" spans="1:5" x14ac:dyDescent="0.25">
      <c r="A43">
        <v>41</v>
      </c>
      <c r="B43">
        <f t="shared" si="0"/>
        <v>4760</v>
      </c>
      <c r="C43">
        <f t="shared" si="1"/>
        <v>3992</v>
      </c>
      <c r="E43">
        <f t="shared" si="2"/>
        <v>239</v>
      </c>
    </row>
    <row r="44" spans="1:5" x14ac:dyDescent="0.25">
      <c r="A44">
        <v>42</v>
      </c>
      <c r="B44">
        <f t="shared" si="0"/>
        <v>5002</v>
      </c>
      <c r="C44">
        <f t="shared" si="1"/>
        <v>4135</v>
      </c>
      <c r="E44">
        <f t="shared" si="2"/>
        <v>245</v>
      </c>
    </row>
    <row r="45" spans="1:5" x14ac:dyDescent="0.25">
      <c r="A45">
        <v>43</v>
      </c>
      <c r="B45">
        <f t="shared" si="0"/>
        <v>5250</v>
      </c>
      <c r="C45">
        <f t="shared" si="1"/>
        <v>4278</v>
      </c>
      <c r="E45">
        <f t="shared" si="2"/>
        <v>251</v>
      </c>
    </row>
    <row r="46" spans="1:5" x14ac:dyDescent="0.25">
      <c r="A46">
        <v>44</v>
      </c>
      <c r="B46">
        <f t="shared" si="0"/>
        <v>5504</v>
      </c>
      <c r="C46">
        <f t="shared" si="1"/>
        <v>4421</v>
      </c>
      <c r="E46">
        <f t="shared" si="2"/>
        <v>257</v>
      </c>
    </row>
    <row r="47" spans="1:5" x14ac:dyDescent="0.25">
      <c r="A47">
        <v>45</v>
      </c>
      <c r="B47">
        <f t="shared" si="0"/>
        <v>5764</v>
      </c>
      <c r="C47">
        <f t="shared" si="1"/>
        <v>4564</v>
      </c>
      <c r="E47">
        <f t="shared" si="2"/>
        <v>263</v>
      </c>
    </row>
    <row r="48" spans="1:5" x14ac:dyDescent="0.25">
      <c r="A48">
        <v>46</v>
      </c>
      <c r="B48">
        <f t="shared" si="0"/>
        <v>6030</v>
      </c>
      <c r="C48">
        <f t="shared" si="1"/>
        <v>4707</v>
      </c>
      <c r="E48">
        <f t="shared" si="2"/>
        <v>269</v>
      </c>
    </row>
    <row r="49" spans="1:5" x14ac:dyDescent="0.25">
      <c r="A49">
        <v>47</v>
      </c>
      <c r="B49">
        <f t="shared" si="0"/>
        <v>6302</v>
      </c>
      <c r="C49">
        <f t="shared" si="1"/>
        <v>4850</v>
      </c>
      <c r="E49">
        <f t="shared" si="2"/>
        <v>275</v>
      </c>
    </row>
    <row r="50" spans="1:5" x14ac:dyDescent="0.25">
      <c r="A50">
        <v>48</v>
      </c>
      <c r="B50">
        <f t="shared" si="0"/>
        <v>6580</v>
      </c>
      <c r="C50">
        <f t="shared" si="1"/>
        <v>4993</v>
      </c>
      <c r="E50">
        <f t="shared" si="2"/>
        <v>281</v>
      </c>
    </row>
    <row r="51" spans="1:5" x14ac:dyDescent="0.25">
      <c r="A51">
        <v>49</v>
      </c>
      <c r="B51">
        <f t="shared" si="0"/>
        <v>6864</v>
      </c>
      <c r="C51">
        <f t="shared" si="1"/>
        <v>5136</v>
      </c>
      <c r="E51">
        <f t="shared" si="2"/>
        <v>287</v>
      </c>
    </row>
    <row r="52" spans="1:5" x14ac:dyDescent="0.25">
      <c r="A52">
        <v>50</v>
      </c>
      <c r="B52">
        <f t="shared" si="0"/>
        <v>7154</v>
      </c>
      <c r="C52">
        <f t="shared" si="1"/>
        <v>5279</v>
      </c>
      <c r="E52">
        <f t="shared" si="2"/>
        <v>293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7AAF-F49B-4EEE-AD17-4FC3A26D76F9}">
  <dimension ref="A1:P27"/>
  <sheetViews>
    <sheetView tabSelected="1" topLeftCell="A11" workbookViewId="0">
      <selection activeCell="J25" sqref="J25:P27"/>
    </sheetView>
  </sheetViews>
  <sheetFormatPr baseColWidth="10" defaultRowHeight="26.25" x14ac:dyDescent="0.4"/>
  <cols>
    <col min="1" max="1" width="38.7109375" style="3" bestFit="1" customWidth="1"/>
    <col min="2" max="2" width="7.42578125" style="3" bestFit="1" customWidth="1"/>
    <col min="3" max="6" width="11.42578125" style="3"/>
    <col min="7" max="7" width="8" style="3" bestFit="1" customWidth="1"/>
    <col min="8" max="9" width="11.42578125" style="3"/>
    <col min="10" max="10" width="38.7109375" style="3" bestFit="1" customWidth="1"/>
    <col min="11" max="11" width="7.42578125" style="3" bestFit="1" customWidth="1"/>
    <col min="12" max="15" width="11.42578125" style="3"/>
    <col min="16" max="16" width="8" style="3" bestFit="1" customWidth="1"/>
    <col min="17" max="16384" width="11.42578125" style="3"/>
  </cols>
  <sheetData>
    <row r="1" spans="1:16" x14ac:dyDescent="0.4">
      <c r="A1" s="14" t="s">
        <v>29</v>
      </c>
      <c r="B1" s="4" t="s">
        <v>30</v>
      </c>
      <c r="C1" s="8"/>
      <c r="D1" s="9"/>
      <c r="E1" s="9"/>
      <c r="F1" s="10"/>
      <c r="G1" s="4" t="s">
        <v>31</v>
      </c>
      <c r="J1" s="14" t="s">
        <v>29</v>
      </c>
      <c r="K1" s="4" t="s">
        <v>30</v>
      </c>
      <c r="L1" s="8"/>
      <c r="M1" s="9"/>
      <c r="N1" s="9"/>
      <c r="O1" s="10"/>
      <c r="P1" s="4" t="s">
        <v>31</v>
      </c>
    </row>
    <row r="2" spans="1:16" x14ac:dyDescent="0.4">
      <c r="A2" s="14" t="s">
        <v>32</v>
      </c>
      <c r="B2" s="11" t="s">
        <v>33</v>
      </c>
      <c r="C2" s="12"/>
      <c r="D2" s="12"/>
      <c r="E2" s="12"/>
      <c r="F2" s="12"/>
      <c r="G2" s="13"/>
      <c r="J2" s="14" t="s">
        <v>32</v>
      </c>
      <c r="K2" s="11" t="s">
        <v>35</v>
      </c>
      <c r="L2" s="12"/>
      <c r="M2" s="12"/>
      <c r="N2" s="12"/>
      <c r="O2" s="12"/>
      <c r="P2" s="13"/>
    </row>
    <row r="3" spans="1:16" ht="75.75" customHeight="1" x14ac:dyDescent="0.4">
      <c r="A3" s="15" t="s">
        <v>34</v>
      </c>
      <c r="B3" s="8"/>
      <c r="C3" s="9"/>
      <c r="D3" s="9"/>
      <c r="E3" s="9"/>
      <c r="F3" s="9"/>
      <c r="G3" s="10"/>
      <c r="J3" s="15" t="s">
        <v>34</v>
      </c>
      <c r="K3" s="8"/>
      <c r="L3" s="9"/>
      <c r="M3" s="9"/>
      <c r="N3" s="9"/>
      <c r="O3" s="9"/>
      <c r="P3" s="10"/>
    </row>
    <row r="9" spans="1:16" x14ac:dyDescent="0.4">
      <c r="A9" s="14" t="s">
        <v>29</v>
      </c>
      <c r="B9" s="17" t="s">
        <v>36</v>
      </c>
      <c r="C9" s="11"/>
      <c r="D9" s="12"/>
      <c r="E9" s="12"/>
      <c r="F9" s="13"/>
      <c r="G9" s="17" t="s">
        <v>37</v>
      </c>
      <c r="J9" s="14" t="s">
        <v>29</v>
      </c>
      <c r="K9" s="17" t="s">
        <v>36</v>
      </c>
      <c r="L9" s="11"/>
      <c r="M9" s="12"/>
      <c r="N9" s="12"/>
      <c r="O9" s="13"/>
      <c r="P9" s="17" t="s">
        <v>37</v>
      </c>
    </row>
    <row r="10" spans="1:16" x14ac:dyDescent="0.4">
      <c r="A10" s="14" t="s">
        <v>32</v>
      </c>
      <c r="B10" s="11" t="s">
        <v>33</v>
      </c>
      <c r="C10" s="12"/>
      <c r="D10" s="12"/>
      <c r="E10" s="12"/>
      <c r="F10" s="12"/>
      <c r="G10" s="13"/>
      <c r="J10" s="14" t="s">
        <v>32</v>
      </c>
      <c r="K10" s="11" t="s">
        <v>35</v>
      </c>
      <c r="L10" s="12"/>
      <c r="M10" s="12"/>
      <c r="N10" s="12"/>
      <c r="O10" s="12"/>
      <c r="P10" s="13"/>
    </row>
    <row r="11" spans="1:16" ht="102" customHeight="1" x14ac:dyDescent="0.4">
      <c r="A11" s="15" t="s">
        <v>34</v>
      </c>
      <c r="B11" s="8"/>
      <c r="C11" s="9"/>
      <c r="D11" s="9"/>
      <c r="E11" s="9"/>
      <c r="F11" s="9"/>
      <c r="G11" s="10"/>
      <c r="J11" s="15" t="s">
        <v>34</v>
      </c>
      <c r="K11" s="8"/>
      <c r="L11" s="9"/>
      <c r="M11" s="9"/>
      <c r="N11" s="9"/>
      <c r="O11" s="9"/>
      <c r="P11" s="10"/>
    </row>
    <row r="19" spans="10:16" x14ac:dyDescent="0.4">
      <c r="J19" s="14" t="s">
        <v>29</v>
      </c>
      <c r="K19" s="17">
        <v>0</v>
      </c>
      <c r="L19" s="11"/>
      <c r="M19" s="12"/>
      <c r="N19" s="12"/>
      <c r="O19" s="13"/>
      <c r="P19" s="20" t="s">
        <v>38</v>
      </c>
    </row>
    <row r="20" spans="10:16" x14ac:dyDescent="0.4">
      <c r="J20" s="14" t="s">
        <v>32</v>
      </c>
      <c r="K20" s="11" t="s">
        <v>35</v>
      </c>
      <c r="L20" s="12"/>
      <c r="M20" s="12"/>
      <c r="N20" s="12"/>
      <c r="O20" s="12"/>
      <c r="P20" s="13"/>
    </row>
    <row r="21" spans="10:16" ht="131.25" customHeight="1" x14ac:dyDescent="0.4">
      <c r="J21" s="15" t="s">
        <v>34</v>
      </c>
      <c r="K21" s="8"/>
      <c r="L21" s="9"/>
      <c r="M21" s="9"/>
      <c r="N21" s="9"/>
      <c r="O21" s="9"/>
      <c r="P21" s="10"/>
    </row>
    <row r="25" spans="10:16" x14ac:dyDescent="0.4">
      <c r="J25" s="14" t="s">
        <v>29</v>
      </c>
      <c r="K25" s="20" t="s">
        <v>39</v>
      </c>
      <c r="L25" s="11"/>
      <c r="M25" s="12"/>
      <c r="N25" s="12"/>
      <c r="O25" s="13"/>
      <c r="P25" s="20" t="s">
        <v>38</v>
      </c>
    </row>
    <row r="26" spans="10:16" x14ac:dyDescent="0.4">
      <c r="J26" s="14" t="s">
        <v>32</v>
      </c>
      <c r="K26" s="11" t="s">
        <v>35</v>
      </c>
      <c r="L26" s="12"/>
      <c r="M26" s="12"/>
      <c r="N26" s="12"/>
      <c r="O26" s="12"/>
      <c r="P26" s="13"/>
    </row>
    <row r="27" spans="10:16" ht="142.5" customHeight="1" x14ac:dyDescent="0.4">
      <c r="J27" s="15" t="s">
        <v>34</v>
      </c>
      <c r="K27" s="8"/>
      <c r="L27" s="9"/>
      <c r="M27" s="9"/>
      <c r="N27" s="9"/>
      <c r="O27" s="9"/>
      <c r="P27" s="10"/>
    </row>
  </sheetData>
  <mergeCells count="18">
    <mergeCell ref="L19:O19"/>
    <mergeCell ref="K20:P20"/>
    <mergeCell ref="K21:P21"/>
    <mergeCell ref="L25:O25"/>
    <mergeCell ref="K26:P26"/>
    <mergeCell ref="K27:P27"/>
    <mergeCell ref="C9:F9"/>
    <mergeCell ref="L9:O9"/>
    <mergeCell ref="B10:G10"/>
    <mergeCell ref="K10:P10"/>
    <mergeCell ref="B11:G11"/>
    <mergeCell ref="K11:P11"/>
    <mergeCell ref="B3:G3"/>
    <mergeCell ref="B2:G2"/>
    <mergeCell ref="C1:F1"/>
    <mergeCell ref="L1:O1"/>
    <mergeCell ref="K2:P2"/>
    <mergeCell ref="K3:P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AA01-BD0B-4943-8E59-C4AB5D6758A6}">
  <dimension ref="A1:L3"/>
  <sheetViews>
    <sheetView workbookViewId="0">
      <selection sqref="A1:L3"/>
    </sheetView>
  </sheetViews>
  <sheetFormatPr baseColWidth="10" defaultRowHeight="26.25" x14ac:dyDescent="0.4"/>
  <cols>
    <col min="1" max="1" width="40.140625" style="3" bestFit="1" customWidth="1"/>
    <col min="2" max="3" width="11.42578125" style="19"/>
    <col min="4" max="4" width="8" style="19" bestFit="1" customWidth="1"/>
    <col min="5" max="12" width="11.42578125" style="19"/>
    <col min="13" max="16384" width="11.42578125" style="3"/>
  </cols>
  <sheetData>
    <row r="1" spans="1:12" x14ac:dyDescent="0.4">
      <c r="A1" s="14" t="s">
        <v>29</v>
      </c>
      <c r="B1" s="17">
        <v>-20</v>
      </c>
      <c r="C1" s="16"/>
      <c r="D1" s="17">
        <v>-10</v>
      </c>
      <c r="E1" s="16"/>
      <c r="F1" s="17">
        <v>0</v>
      </c>
      <c r="G1" s="16"/>
      <c r="H1" s="17">
        <v>5</v>
      </c>
      <c r="I1" s="16"/>
      <c r="J1" s="17">
        <v>7</v>
      </c>
      <c r="K1" s="16"/>
      <c r="L1" s="17">
        <v>10</v>
      </c>
    </row>
    <row r="2" spans="1:12" x14ac:dyDescent="0.4">
      <c r="A2" s="14" t="s">
        <v>32</v>
      </c>
      <c r="B2" s="17"/>
      <c r="C2" s="18"/>
      <c r="D2" s="17"/>
      <c r="E2" s="18"/>
      <c r="F2" s="17"/>
      <c r="G2" s="18"/>
      <c r="H2" s="17"/>
      <c r="I2" s="18"/>
      <c r="J2" s="17"/>
      <c r="K2" s="18"/>
      <c r="L2" s="17"/>
    </row>
    <row r="3" spans="1:12" ht="124.5" customHeight="1" x14ac:dyDescent="0.4">
      <c r="A3" s="15" t="s">
        <v>34</v>
      </c>
      <c r="B3" s="11"/>
      <c r="C3" s="12"/>
      <c r="D3" s="12"/>
      <c r="E3" s="6"/>
      <c r="F3" s="6"/>
      <c r="G3" s="6"/>
      <c r="H3" s="6"/>
      <c r="I3" s="6"/>
      <c r="J3" s="6"/>
      <c r="K3" s="6"/>
      <c r="L3" s="7"/>
    </row>
  </sheetData>
  <mergeCells count="1">
    <mergeCell ref="B3:L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A42E-3FE0-48E1-B457-6FE9776960A0}">
  <dimension ref="A1:I7"/>
  <sheetViews>
    <sheetView workbookViewId="0">
      <selection activeCell="G1" sqref="G1:I5"/>
    </sheetView>
  </sheetViews>
  <sheetFormatPr baseColWidth="10" defaultRowHeight="26.25" x14ac:dyDescent="0.4"/>
  <cols>
    <col min="1" max="1" width="54.85546875" style="3" bestFit="1" customWidth="1"/>
    <col min="2" max="2" width="28.7109375" style="3" bestFit="1" customWidth="1"/>
    <col min="3" max="6" width="11.42578125" style="3"/>
    <col min="7" max="7" width="44.85546875" style="3" bestFit="1" customWidth="1"/>
    <col min="8" max="8" width="54.85546875" style="3" bestFit="1" customWidth="1"/>
    <col min="9" max="9" width="28.7109375" style="3" bestFit="1" customWidth="1"/>
    <col min="10" max="16384" width="11.42578125" style="3"/>
  </cols>
  <sheetData>
    <row r="1" spans="1:9" x14ac:dyDescent="0.4">
      <c r="A1" s="2" t="s">
        <v>3</v>
      </c>
      <c r="B1" s="2" t="s">
        <v>4</v>
      </c>
      <c r="G1" s="5"/>
      <c r="H1" s="2" t="s">
        <v>3</v>
      </c>
      <c r="I1" s="2" t="s">
        <v>4</v>
      </c>
    </row>
    <row r="2" spans="1:9" x14ac:dyDescent="0.4">
      <c r="A2" s="4" t="s">
        <v>5</v>
      </c>
      <c r="B2" s="4" t="s">
        <v>6</v>
      </c>
      <c r="G2" s="5" t="s">
        <v>17</v>
      </c>
      <c r="H2" s="4" t="s">
        <v>20</v>
      </c>
      <c r="I2" s="4" t="s">
        <v>21</v>
      </c>
    </row>
    <row r="3" spans="1:9" x14ac:dyDescent="0.4">
      <c r="A3" s="4" t="s">
        <v>7</v>
      </c>
      <c r="B3" s="4" t="s">
        <v>8</v>
      </c>
      <c r="G3" s="5" t="s">
        <v>18</v>
      </c>
      <c r="H3" s="4" t="s">
        <v>22</v>
      </c>
      <c r="I3" s="4" t="s">
        <v>23</v>
      </c>
    </row>
    <row r="4" spans="1:9" x14ac:dyDescent="0.4">
      <c r="A4" s="4" t="s">
        <v>11</v>
      </c>
      <c r="B4" s="4" t="s">
        <v>9</v>
      </c>
      <c r="G4" s="5" t="s">
        <v>24</v>
      </c>
      <c r="H4" s="4" t="s">
        <v>25</v>
      </c>
      <c r="I4" s="4" t="s">
        <v>26</v>
      </c>
    </row>
    <row r="5" spans="1:9" ht="29.25" x14ac:dyDescent="0.4">
      <c r="A5" s="4" t="s">
        <v>12</v>
      </c>
      <c r="B5" s="4" t="s">
        <v>10</v>
      </c>
      <c r="G5" s="5" t="s">
        <v>19</v>
      </c>
      <c r="H5" s="4" t="s">
        <v>27</v>
      </c>
      <c r="I5" s="4" t="s">
        <v>28</v>
      </c>
    </row>
    <row r="6" spans="1:9" ht="29.25" x14ac:dyDescent="0.4">
      <c r="A6" s="4" t="s">
        <v>13</v>
      </c>
      <c r="B6" s="4" t="s">
        <v>14</v>
      </c>
      <c r="H6" s="4"/>
      <c r="I6" s="4"/>
    </row>
    <row r="7" spans="1:9" x14ac:dyDescent="0.4">
      <c r="A7" s="4" t="s">
        <v>15</v>
      </c>
      <c r="B7" s="4" t="s">
        <v>16</v>
      </c>
      <c r="H7" s="4"/>
      <c r="I7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Feuil3</vt:lpstr>
      <vt:lpstr>Feuil4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2026-02-16T07:18:55Z</dcterms:created>
  <dcterms:modified xsi:type="dcterms:W3CDTF">2026-02-16T12:15:10Z</dcterms:modified>
</cp:coreProperties>
</file>